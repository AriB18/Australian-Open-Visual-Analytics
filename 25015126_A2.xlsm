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d92547c4b1f2d7/Documents/"/>
    </mc:Choice>
  </mc:AlternateContent>
  <xr:revisionPtr revIDLastSave="23" documentId="8_{6CC444BD-DE69-42D5-8DC4-9912CD17DE7C}" xr6:coauthVersionLast="47" xr6:coauthVersionMax="47" xr10:uidLastSave="{C74B41A7-F1F8-45E4-930B-0790C3CC4BCA}"/>
  <bookViews>
    <workbookView xWindow="-108" yWindow="-108" windowWidth="23256" windowHeight="12456" xr2:uid="{00000000-000D-0000-FFFF-FFFF00000000}"/>
  </bookViews>
  <sheets>
    <sheet name="Australian Open" sheetId="1" r:id="rId1"/>
    <sheet name="Top5+" sheetId="2" r:id="rId2"/>
  </sheets>
  <definedNames>
    <definedName name="_xlnm._FilterDatabase" localSheetId="0" hidden="1">'Australian Open'!$A$1:$AA$211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1" l="1"/>
  <c r="AC2" i="1" s="1"/>
  <c r="AA119" i="1"/>
  <c r="AA4" i="1"/>
  <c r="AA129" i="1"/>
  <c r="AA6" i="1"/>
  <c r="AA151" i="1"/>
  <c r="AA8" i="1"/>
  <c r="AA131" i="1"/>
  <c r="AA10" i="1"/>
  <c r="AA133" i="1"/>
  <c r="AA12" i="1"/>
  <c r="AA135" i="1"/>
  <c r="AA14" i="1"/>
  <c r="AA167" i="1"/>
  <c r="AA16" i="1"/>
  <c r="AA169" i="1"/>
  <c r="AA18" i="1"/>
  <c r="AA137" i="1"/>
  <c r="AA20" i="1"/>
  <c r="AA139" i="1"/>
  <c r="AA22" i="1"/>
  <c r="AA171" i="1"/>
  <c r="AA24" i="1"/>
  <c r="AA141" i="1"/>
  <c r="AA26" i="1"/>
  <c r="AA143" i="1"/>
  <c r="AA28" i="1"/>
  <c r="AA145" i="1"/>
  <c r="AA30" i="1"/>
  <c r="AA173" i="1"/>
  <c r="AA32" i="1"/>
  <c r="AA153" i="1"/>
  <c r="AA34" i="1"/>
  <c r="AA147" i="1"/>
  <c r="AA36" i="1"/>
  <c r="AA175" i="1"/>
  <c r="AA38" i="1"/>
  <c r="AA177" i="1"/>
  <c r="AA40" i="1"/>
  <c r="AA125" i="1"/>
  <c r="AA42" i="1"/>
  <c r="AA179" i="1"/>
  <c r="AA44" i="1"/>
  <c r="AA191" i="1"/>
  <c r="AA46" i="1"/>
  <c r="AA155" i="1"/>
  <c r="AA48" i="1"/>
  <c r="AA193" i="1"/>
  <c r="AA50" i="1"/>
  <c r="AA195" i="1"/>
  <c r="AA52" i="1"/>
  <c r="AA127" i="1"/>
  <c r="AA54" i="1"/>
  <c r="AA107" i="1"/>
  <c r="AA56" i="1"/>
  <c r="AA197" i="1"/>
  <c r="AA58" i="1"/>
  <c r="AA115" i="1"/>
  <c r="AA60" i="1"/>
  <c r="AA198" i="1"/>
  <c r="AA62" i="1"/>
  <c r="AA199" i="1"/>
  <c r="AA64" i="1"/>
  <c r="AA200" i="1"/>
  <c r="AA66" i="1"/>
  <c r="AA201" i="1"/>
  <c r="AA68" i="1"/>
  <c r="AA117" i="1"/>
  <c r="AA70" i="1"/>
  <c r="AA109" i="1"/>
  <c r="AA72" i="1"/>
  <c r="AA111" i="1"/>
  <c r="AA74" i="1"/>
  <c r="AA157" i="1"/>
  <c r="AA76" i="1"/>
  <c r="AA159" i="1"/>
  <c r="AA78" i="1"/>
  <c r="AA161" i="1"/>
  <c r="AA80" i="1"/>
  <c r="AA163" i="1"/>
  <c r="AA82" i="1"/>
  <c r="AA165" i="1"/>
  <c r="AA84" i="1"/>
  <c r="AA202" i="1"/>
  <c r="AA86" i="1"/>
  <c r="AA149" i="1"/>
  <c r="AA88" i="1"/>
  <c r="AA203" i="1"/>
  <c r="AA90" i="1"/>
  <c r="AA3" i="1"/>
  <c r="AA92" i="1"/>
  <c r="AA5" i="1"/>
  <c r="AA94" i="1"/>
  <c r="AA204" i="1"/>
  <c r="AA96" i="1"/>
  <c r="AA205" i="1"/>
  <c r="AA98" i="1"/>
  <c r="AA7" i="1"/>
  <c r="AA100" i="1"/>
  <c r="AA9" i="1"/>
  <c r="AA102" i="1"/>
  <c r="AA206" i="1"/>
  <c r="AA104" i="1"/>
  <c r="AA11" i="1"/>
  <c r="AA106" i="1"/>
  <c r="AA13" i="1"/>
  <c r="AA108" i="1"/>
  <c r="AA15" i="1"/>
  <c r="AA110" i="1"/>
  <c r="AA207" i="1"/>
  <c r="AA112" i="1"/>
  <c r="AA17" i="1"/>
  <c r="AA114" i="1"/>
  <c r="AA19" i="1"/>
  <c r="AA116" i="1"/>
  <c r="AA21" i="1"/>
  <c r="AA118" i="1"/>
  <c r="AA23" i="1"/>
  <c r="AA120" i="1"/>
  <c r="AA25" i="1"/>
  <c r="AA122" i="1"/>
  <c r="AA27" i="1"/>
  <c r="AA124" i="1"/>
  <c r="AA29" i="1"/>
  <c r="AA126" i="1"/>
  <c r="AA31" i="1"/>
  <c r="AA128" i="1"/>
  <c r="AA33" i="1"/>
  <c r="AA130" i="1"/>
  <c r="AA35" i="1"/>
  <c r="AA132" i="1"/>
  <c r="AA208" i="1"/>
  <c r="AA134" i="1"/>
  <c r="AA37" i="1"/>
  <c r="AA136" i="1"/>
  <c r="AA39" i="1"/>
  <c r="AA138" i="1"/>
  <c r="AA41" i="1"/>
  <c r="AA140" i="1"/>
  <c r="AA43" i="1"/>
  <c r="AA142" i="1"/>
  <c r="AA45" i="1"/>
  <c r="AA144" i="1"/>
  <c r="AA47" i="1"/>
  <c r="AA146" i="1"/>
  <c r="AA49" i="1"/>
  <c r="AA148" i="1"/>
  <c r="AA209" i="1"/>
  <c r="AA150" i="1"/>
  <c r="AA51" i="1"/>
  <c r="AA152" i="1"/>
  <c r="AA53" i="1"/>
  <c r="AA154" i="1"/>
  <c r="AA55" i="1"/>
  <c r="AA156" i="1"/>
  <c r="AA57" i="1"/>
  <c r="AA158" i="1"/>
  <c r="AA59" i="1"/>
  <c r="AA160" i="1"/>
  <c r="AA61" i="1"/>
  <c r="AA162" i="1"/>
  <c r="AA63" i="1"/>
  <c r="AA164" i="1"/>
  <c r="AA210" i="1"/>
  <c r="AA166" i="1"/>
  <c r="AA65" i="1"/>
  <c r="AA168" i="1"/>
  <c r="AA67" i="1"/>
  <c r="AA170" i="1"/>
  <c r="AA69" i="1"/>
  <c r="AA172" i="1"/>
  <c r="AA181" i="1"/>
  <c r="AA174" i="1"/>
  <c r="AA71" i="1"/>
  <c r="AA176" i="1"/>
  <c r="AA73" i="1"/>
  <c r="AA178" i="1"/>
  <c r="AA75" i="1"/>
  <c r="AA180" i="1"/>
  <c r="AA77" i="1"/>
  <c r="AA182" i="1"/>
  <c r="AA183" i="1"/>
  <c r="AA184" i="1"/>
  <c r="AA113" i="1"/>
  <c r="AA186" i="1"/>
  <c r="AA79" i="1"/>
  <c r="AA188" i="1"/>
  <c r="AA81" i="1"/>
  <c r="AA190" i="1"/>
  <c r="AA83" i="1"/>
  <c r="AA192" i="1"/>
  <c r="AA85" i="1"/>
  <c r="AA194" i="1"/>
  <c r="AA87" i="1"/>
  <c r="AA196" i="1"/>
  <c r="AA89" i="1"/>
  <c r="AA91" i="1"/>
  <c r="AA93" i="1"/>
  <c r="AA185" i="1"/>
  <c r="AA187" i="1"/>
  <c r="AA95" i="1"/>
  <c r="AA97" i="1"/>
  <c r="AA189" i="1"/>
  <c r="AA99" i="1"/>
  <c r="AA101" i="1"/>
  <c r="AA121" i="1"/>
  <c r="AA211" i="1"/>
  <c r="AA103" i="1"/>
  <c r="AA123" i="1"/>
  <c r="AA105" i="1"/>
  <c r="AA2" i="1"/>
  <c r="Z119" i="1"/>
  <c r="Z4" i="1"/>
  <c r="Z129" i="1"/>
  <c r="Z6" i="1"/>
  <c r="Z151" i="1"/>
  <c r="Z8" i="1"/>
  <c r="Z131" i="1"/>
  <c r="Z10" i="1"/>
  <c r="Z133" i="1"/>
  <c r="Z12" i="1"/>
  <c r="Z135" i="1"/>
  <c r="Z14" i="1"/>
  <c r="Z167" i="1"/>
  <c r="Z16" i="1"/>
  <c r="Z169" i="1"/>
  <c r="Z18" i="1"/>
  <c r="Z137" i="1"/>
  <c r="Z20" i="1"/>
  <c r="Z139" i="1"/>
  <c r="Z22" i="1"/>
  <c r="Z171" i="1"/>
  <c r="Z24" i="1"/>
  <c r="Z141" i="1"/>
  <c r="Z26" i="1"/>
  <c r="Z143" i="1"/>
  <c r="Z28" i="1"/>
  <c r="Z145" i="1"/>
  <c r="Z30" i="1"/>
  <c r="Z173" i="1"/>
  <c r="Z32" i="1"/>
  <c r="Z153" i="1"/>
  <c r="Z34" i="1"/>
  <c r="Z147" i="1"/>
  <c r="Z36" i="1"/>
  <c r="Z175" i="1"/>
  <c r="Z38" i="1"/>
  <c r="Z177" i="1"/>
  <c r="Z40" i="1"/>
  <c r="Z125" i="1"/>
  <c r="Z42" i="1"/>
  <c r="Z179" i="1"/>
  <c r="Z44" i="1"/>
  <c r="Z191" i="1"/>
  <c r="Z46" i="1"/>
  <c r="Z155" i="1"/>
  <c r="Z48" i="1"/>
  <c r="Z193" i="1"/>
  <c r="Z50" i="1"/>
  <c r="Z195" i="1"/>
  <c r="Z52" i="1"/>
  <c r="Z127" i="1"/>
  <c r="Z54" i="1"/>
  <c r="Z107" i="1"/>
  <c r="Z56" i="1"/>
  <c r="Z197" i="1"/>
  <c r="Z58" i="1"/>
  <c r="Z115" i="1"/>
  <c r="Z60" i="1"/>
  <c r="Z198" i="1"/>
  <c r="Z62" i="1"/>
  <c r="Z199" i="1"/>
  <c r="Z64" i="1"/>
  <c r="Z200" i="1"/>
  <c r="Z66" i="1"/>
  <c r="Z201" i="1"/>
  <c r="Z68" i="1"/>
  <c r="Z117" i="1"/>
  <c r="Z70" i="1"/>
  <c r="Z109" i="1"/>
  <c r="Z72" i="1"/>
  <c r="Z111" i="1"/>
  <c r="Z74" i="1"/>
  <c r="Z157" i="1"/>
  <c r="Z76" i="1"/>
  <c r="Z159" i="1"/>
  <c r="Z78" i="1"/>
  <c r="Z161" i="1"/>
  <c r="Z80" i="1"/>
  <c r="Z163" i="1"/>
  <c r="Z82" i="1"/>
  <c r="Z165" i="1"/>
  <c r="Z84" i="1"/>
  <c r="Z202" i="1"/>
  <c r="Z86" i="1"/>
  <c r="Z149" i="1"/>
  <c r="Z88" i="1"/>
  <c r="Z203" i="1"/>
  <c r="Z90" i="1"/>
  <c r="Z3" i="1"/>
  <c r="Z92" i="1"/>
  <c r="Z5" i="1"/>
  <c r="Z94" i="1"/>
  <c r="Z204" i="1"/>
  <c r="Z96" i="1"/>
  <c r="Z205" i="1"/>
  <c r="Z98" i="1"/>
  <c r="Z7" i="1"/>
  <c r="Z100" i="1"/>
  <c r="Z9" i="1"/>
  <c r="Z102" i="1"/>
  <c r="Z206" i="1"/>
  <c r="Z104" i="1"/>
  <c r="Z11" i="1"/>
  <c r="Z106" i="1"/>
  <c r="Z13" i="1"/>
  <c r="Z108" i="1"/>
  <c r="Z15" i="1"/>
  <c r="Z110" i="1"/>
  <c r="Z207" i="1"/>
  <c r="Z112" i="1"/>
  <c r="Z17" i="1"/>
  <c r="Z114" i="1"/>
  <c r="Z19" i="1"/>
  <c r="Z116" i="1"/>
  <c r="Z21" i="1"/>
  <c r="Z118" i="1"/>
  <c r="Z23" i="1"/>
  <c r="Z120" i="1"/>
  <c r="Z25" i="1"/>
  <c r="Z122" i="1"/>
  <c r="Z27" i="1"/>
  <c r="Z124" i="1"/>
  <c r="Z29" i="1"/>
  <c r="Z126" i="1"/>
  <c r="Z31" i="1"/>
  <c r="Z128" i="1"/>
  <c r="Z33" i="1"/>
  <c r="Z130" i="1"/>
  <c r="Z35" i="1"/>
  <c r="Z132" i="1"/>
  <c r="Z208" i="1"/>
  <c r="Z134" i="1"/>
  <c r="Z37" i="1"/>
  <c r="Z136" i="1"/>
  <c r="Z39" i="1"/>
  <c r="Z138" i="1"/>
  <c r="Z41" i="1"/>
  <c r="Z140" i="1"/>
  <c r="Z43" i="1"/>
  <c r="Z142" i="1"/>
  <c r="Z45" i="1"/>
  <c r="Z144" i="1"/>
  <c r="Z47" i="1"/>
  <c r="Z146" i="1"/>
  <c r="Z49" i="1"/>
  <c r="Z148" i="1"/>
  <c r="Z209" i="1"/>
  <c r="Z150" i="1"/>
  <c r="Z51" i="1"/>
  <c r="Z152" i="1"/>
  <c r="Z53" i="1"/>
  <c r="Z154" i="1"/>
  <c r="Z55" i="1"/>
  <c r="Z156" i="1"/>
  <c r="Z57" i="1"/>
  <c r="Z158" i="1"/>
  <c r="Z59" i="1"/>
  <c r="Z160" i="1"/>
  <c r="Z61" i="1"/>
  <c r="Z162" i="1"/>
  <c r="Z63" i="1"/>
  <c r="Z164" i="1"/>
  <c r="Z210" i="1"/>
  <c r="Z166" i="1"/>
  <c r="Z65" i="1"/>
  <c r="Z168" i="1"/>
  <c r="Z67" i="1"/>
  <c r="Z170" i="1"/>
  <c r="Z69" i="1"/>
  <c r="Z172" i="1"/>
  <c r="Z181" i="1"/>
  <c r="Z174" i="1"/>
  <c r="Z71" i="1"/>
  <c r="Z176" i="1"/>
  <c r="Z73" i="1"/>
  <c r="Z178" i="1"/>
  <c r="Z75" i="1"/>
  <c r="Z180" i="1"/>
  <c r="Z77" i="1"/>
  <c r="Z182" i="1"/>
  <c r="Z183" i="1"/>
  <c r="Z184" i="1"/>
  <c r="Z113" i="1"/>
  <c r="Z186" i="1"/>
  <c r="Z79" i="1"/>
  <c r="Z188" i="1"/>
  <c r="Z81" i="1"/>
  <c r="Z190" i="1"/>
  <c r="Z83" i="1"/>
  <c r="Z192" i="1"/>
  <c r="Z85" i="1"/>
  <c r="Z194" i="1"/>
  <c r="Z87" i="1"/>
  <c r="Z196" i="1"/>
  <c r="Z89" i="1"/>
  <c r="Z91" i="1"/>
  <c r="Z93" i="1"/>
  <c r="Z185" i="1"/>
  <c r="Z187" i="1"/>
  <c r="Z95" i="1"/>
  <c r="Z97" i="1"/>
  <c r="Z189" i="1"/>
  <c r="Z99" i="1"/>
  <c r="Z101" i="1"/>
  <c r="Z121" i="1"/>
  <c r="Z211" i="1"/>
  <c r="Z103" i="1"/>
  <c r="Z123" i="1"/>
  <c r="Z105" i="1"/>
  <c r="Z2" i="1"/>
  <c r="Y119" i="1"/>
  <c r="Y4" i="1"/>
  <c r="Y129" i="1"/>
  <c r="Y6" i="1"/>
  <c r="Y151" i="1"/>
  <c r="Y8" i="1"/>
  <c r="Y131" i="1"/>
  <c r="Y10" i="1"/>
  <c r="Y133" i="1"/>
  <c r="Y12" i="1"/>
  <c r="Y135" i="1"/>
  <c r="Y14" i="1"/>
  <c r="Y167" i="1"/>
  <c r="Y16" i="1"/>
  <c r="Y169" i="1"/>
  <c r="Y18" i="1"/>
  <c r="Y137" i="1"/>
  <c r="Y20" i="1"/>
  <c r="Y139" i="1"/>
  <c r="Y22" i="1"/>
  <c r="Y171" i="1"/>
  <c r="Y24" i="1"/>
  <c r="Y141" i="1"/>
  <c r="Y26" i="1"/>
  <c r="Y143" i="1"/>
  <c r="Y28" i="1"/>
  <c r="Y145" i="1"/>
  <c r="Y30" i="1"/>
  <c r="Y173" i="1"/>
  <c r="Y32" i="1"/>
  <c r="Y153" i="1"/>
  <c r="Y34" i="1"/>
  <c r="Y147" i="1"/>
  <c r="Y36" i="1"/>
  <c r="Y175" i="1"/>
  <c r="Y38" i="1"/>
  <c r="Y177" i="1"/>
  <c r="Y40" i="1"/>
  <c r="Y125" i="1"/>
  <c r="Y42" i="1"/>
  <c r="Y179" i="1"/>
  <c r="Y44" i="1"/>
  <c r="Y191" i="1"/>
  <c r="Y46" i="1"/>
  <c r="Y155" i="1"/>
  <c r="Y48" i="1"/>
  <c r="Y193" i="1"/>
  <c r="Y50" i="1"/>
  <c r="Y195" i="1"/>
  <c r="Y52" i="1"/>
  <c r="Y127" i="1"/>
  <c r="Y54" i="1"/>
  <c r="Y107" i="1"/>
  <c r="Y56" i="1"/>
  <c r="Y197" i="1"/>
  <c r="Y58" i="1"/>
  <c r="Y115" i="1"/>
  <c r="Y60" i="1"/>
  <c r="Y198" i="1"/>
  <c r="Y62" i="1"/>
  <c r="Y199" i="1"/>
  <c r="Y64" i="1"/>
  <c r="Y200" i="1"/>
  <c r="Y66" i="1"/>
  <c r="Y201" i="1"/>
  <c r="Y68" i="1"/>
  <c r="Y117" i="1"/>
  <c r="Y70" i="1"/>
  <c r="Y109" i="1"/>
  <c r="Y72" i="1"/>
  <c r="Y111" i="1"/>
  <c r="Y74" i="1"/>
  <c r="Y157" i="1"/>
  <c r="Y76" i="1"/>
  <c r="Y159" i="1"/>
  <c r="Y78" i="1"/>
  <c r="Y161" i="1"/>
  <c r="Y80" i="1"/>
  <c r="Y163" i="1"/>
  <c r="Y82" i="1"/>
  <c r="Y165" i="1"/>
  <c r="Y84" i="1"/>
  <c r="Y202" i="1"/>
  <c r="Y86" i="1"/>
  <c r="Y149" i="1"/>
  <c r="Y88" i="1"/>
  <c r="Y203" i="1"/>
  <c r="Y90" i="1"/>
  <c r="Y3" i="1"/>
  <c r="Y92" i="1"/>
  <c r="Y5" i="1"/>
  <c r="Y94" i="1"/>
  <c r="Y204" i="1"/>
  <c r="Y96" i="1"/>
  <c r="Y205" i="1"/>
  <c r="Y98" i="1"/>
  <c r="Y7" i="1"/>
  <c r="Y100" i="1"/>
  <c r="Y9" i="1"/>
  <c r="Y102" i="1"/>
  <c r="Y206" i="1"/>
  <c r="Y104" i="1"/>
  <c r="Y11" i="1"/>
  <c r="Y106" i="1"/>
  <c r="Y13" i="1"/>
  <c r="Y108" i="1"/>
  <c r="Y15" i="1"/>
  <c r="Y110" i="1"/>
  <c r="Y207" i="1"/>
  <c r="Y112" i="1"/>
  <c r="Y17" i="1"/>
  <c r="Y114" i="1"/>
  <c r="Y19" i="1"/>
  <c r="Y116" i="1"/>
  <c r="Y21" i="1"/>
  <c r="Y118" i="1"/>
  <c r="Y23" i="1"/>
  <c r="Y120" i="1"/>
  <c r="Y25" i="1"/>
  <c r="Y122" i="1"/>
  <c r="Y27" i="1"/>
  <c r="Y124" i="1"/>
  <c r="Y29" i="1"/>
  <c r="Y126" i="1"/>
  <c r="Y31" i="1"/>
  <c r="Y128" i="1"/>
  <c r="Y33" i="1"/>
  <c r="Y130" i="1"/>
  <c r="Y35" i="1"/>
  <c r="Y132" i="1"/>
  <c r="Y208" i="1"/>
  <c r="Y134" i="1"/>
  <c r="Y37" i="1"/>
  <c r="Y136" i="1"/>
  <c r="Y39" i="1"/>
  <c r="Y138" i="1"/>
  <c r="Y41" i="1"/>
  <c r="Y140" i="1"/>
  <c r="Y43" i="1"/>
  <c r="Y142" i="1"/>
  <c r="Y45" i="1"/>
  <c r="Y144" i="1"/>
  <c r="Y47" i="1"/>
  <c r="Y146" i="1"/>
  <c r="Y49" i="1"/>
  <c r="Y148" i="1"/>
  <c r="Y209" i="1"/>
  <c r="Y150" i="1"/>
  <c r="Y51" i="1"/>
  <c r="Y152" i="1"/>
  <c r="Y53" i="1"/>
  <c r="Y154" i="1"/>
  <c r="Y55" i="1"/>
  <c r="Y156" i="1"/>
  <c r="Y57" i="1"/>
  <c r="Y158" i="1"/>
  <c r="Y59" i="1"/>
  <c r="Y160" i="1"/>
  <c r="Y61" i="1"/>
  <c r="Y162" i="1"/>
  <c r="Y63" i="1"/>
  <c r="Y164" i="1"/>
  <c r="Y210" i="1"/>
  <c r="Y166" i="1"/>
  <c r="Y65" i="1"/>
  <c r="Y168" i="1"/>
  <c r="Y67" i="1"/>
  <c r="Y170" i="1"/>
  <c r="Y69" i="1"/>
  <c r="Y172" i="1"/>
  <c r="Y181" i="1"/>
  <c r="Y174" i="1"/>
  <c r="Y71" i="1"/>
  <c r="Y176" i="1"/>
  <c r="Y73" i="1"/>
  <c r="Y178" i="1"/>
  <c r="Y75" i="1"/>
  <c r="Y180" i="1"/>
  <c r="Y77" i="1"/>
  <c r="Y182" i="1"/>
  <c r="Y183" i="1"/>
  <c r="Y184" i="1"/>
  <c r="Y113" i="1"/>
  <c r="Y186" i="1"/>
  <c r="Y79" i="1"/>
  <c r="Y188" i="1"/>
  <c r="Y81" i="1"/>
  <c r="Y190" i="1"/>
  <c r="Y83" i="1"/>
  <c r="Y192" i="1"/>
  <c r="Y85" i="1"/>
  <c r="Y194" i="1"/>
  <c r="Y87" i="1"/>
  <c r="Y196" i="1"/>
  <c r="Y89" i="1"/>
  <c r="Y91" i="1"/>
  <c r="Y93" i="1"/>
  <c r="Y185" i="1"/>
  <c r="Y187" i="1"/>
  <c r="Y95" i="1"/>
  <c r="Y97" i="1"/>
  <c r="Y189" i="1"/>
  <c r="Y99" i="1"/>
  <c r="Y101" i="1"/>
  <c r="Y121" i="1"/>
  <c r="Y211" i="1"/>
  <c r="Y103" i="1"/>
  <c r="Y123" i="1"/>
  <c r="Y105" i="1"/>
  <c r="Y2" i="1"/>
  <c r="X119" i="1"/>
  <c r="X4" i="1"/>
  <c r="X129" i="1"/>
  <c r="X6" i="1"/>
  <c r="X151" i="1"/>
  <c r="X8" i="1"/>
  <c r="X131" i="1"/>
  <c r="X10" i="1"/>
  <c r="X133" i="1"/>
  <c r="X12" i="1"/>
  <c r="X135" i="1"/>
  <c r="X14" i="1"/>
  <c r="X167" i="1"/>
  <c r="X16" i="1"/>
  <c r="X169" i="1"/>
  <c r="X18" i="1"/>
  <c r="X137" i="1"/>
  <c r="X20" i="1"/>
  <c r="X139" i="1"/>
  <c r="X22" i="1"/>
  <c r="X171" i="1"/>
  <c r="X24" i="1"/>
  <c r="X141" i="1"/>
  <c r="X26" i="1"/>
  <c r="X143" i="1"/>
  <c r="X28" i="1"/>
  <c r="X145" i="1"/>
  <c r="X30" i="1"/>
  <c r="X173" i="1"/>
  <c r="X32" i="1"/>
  <c r="X153" i="1"/>
  <c r="X34" i="1"/>
  <c r="X147" i="1"/>
  <c r="X36" i="1"/>
  <c r="X175" i="1"/>
  <c r="X38" i="1"/>
  <c r="X177" i="1"/>
  <c r="X40" i="1"/>
  <c r="X125" i="1"/>
  <c r="X42" i="1"/>
  <c r="X179" i="1"/>
  <c r="X44" i="1"/>
  <c r="X191" i="1"/>
  <c r="X46" i="1"/>
  <c r="X155" i="1"/>
  <c r="X48" i="1"/>
  <c r="X193" i="1"/>
  <c r="X50" i="1"/>
  <c r="X195" i="1"/>
  <c r="X52" i="1"/>
  <c r="X127" i="1"/>
  <c r="X54" i="1"/>
  <c r="X107" i="1"/>
  <c r="X56" i="1"/>
  <c r="X197" i="1"/>
  <c r="X58" i="1"/>
  <c r="X115" i="1"/>
  <c r="X60" i="1"/>
  <c r="X198" i="1"/>
  <c r="X62" i="1"/>
  <c r="X199" i="1"/>
  <c r="X64" i="1"/>
  <c r="X200" i="1"/>
  <c r="X66" i="1"/>
  <c r="X201" i="1"/>
  <c r="X68" i="1"/>
  <c r="X117" i="1"/>
  <c r="X70" i="1"/>
  <c r="X109" i="1"/>
  <c r="X72" i="1"/>
  <c r="X111" i="1"/>
  <c r="X74" i="1"/>
  <c r="X157" i="1"/>
  <c r="X76" i="1"/>
  <c r="X159" i="1"/>
  <c r="X78" i="1"/>
  <c r="X161" i="1"/>
  <c r="X80" i="1"/>
  <c r="X163" i="1"/>
  <c r="X82" i="1"/>
  <c r="X165" i="1"/>
  <c r="X84" i="1"/>
  <c r="X202" i="1"/>
  <c r="X86" i="1"/>
  <c r="X149" i="1"/>
  <c r="X88" i="1"/>
  <c r="X203" i="1"/>
  <c r="X90" i="1"/>
  <c r="X3" i="1"/>
  <c r="X92" i="1"/>
  <c r="X5" i="1"/>
  <c r="X94" i="1"/>
  <c r="X204" i="1"/>
  <c r="X96" i="1"/>
  <c r="X205" i="1"/>
  <c r="X98" i="1"/>
  <c r="X7" i="1"/>
  <c r="X100" i="1"/>
  <c r="X9" i="1"/>
  <c r="X102" i="1"/>
  <c r="X206" i="1"/>
  <c r="X104" i="1"/>
  <c r="X11" i="1"/>
  <c r="X106" i="1"/>
  <c r="X13" i="1"/>
  <c r="X108" i="1"/>
  <c r="X15" i="1"/>
  <c r="X110" i="1"/>
  <c r="X207" i="1"/>
  <c r="X112" i="1"/>
  <c r="X17" i="1"/>
  <c r="X114" i="1"/>
  <c r="X19" i="1"/>
  <c r="X116" i="1"/>
  <c r="X21" i="1"/>
  <c r="X118" i="1"/>
  <c r="X23" i="1"/>
  <c r="X120" i="1"/>
  <c r="X25" i="1"/>
  <c r="X122" i="1"/>
  <c r="X27" i="1"/>
  <c r="X124" i="1"/>
  <c r="X29" i="1"/>
  <c r="X126" i="1"/>
  <c r="X31" i="1"/>
  <c r="X128" i="1"/>
  <c r="X33" i="1"/>
  <c r="X130" i="1"/>
  <c r="X35" i="1"/>
  <c r="X132" i="1"/>
  <c r="X208" i="1"/>
  <c r="X134" i="1"/>
  <c r="X37" i="1"/>
  <c r="X136" i="1"/>
  <c r="X39" i="1"/>
  <c r="X138" i="1"/>
  <c r="X41" i="1"/>
  <c r="X140" i="1"/>
  <c r="X43" i="1"/>
  <c r="X142" i="1"/>
  <c r="X45" i="1"/>
  <c r="X144" i="1"/>
  <c r="X47" i="1"/>
  <c r="X146" i="1"/>
  <c r="X49" i="1"/>
  <c r="X148" i="1"/>
  <c r="X209" i="1"/>
  <c r="X150" i="1"/>
  <c r="X51" i="1"/>
  <c r="X152" i="1"/>
  <c r="X53" i="1"/>
  <c r="X154" i="1"/>
  <c r="X55" i="1"/>
  <c r="X156" i="1"/>
  <c r="X57" i="1"/>
  <c r="X158" i="1"/>
  <c r="X59" i="1"/>
  <c r="X160" i="1"/>
  <c r="X61" i="1"/>
  <c r="X162" i="1"/>
  <c r="X63" i="1"/>
  <c r="X164" i="1"/>
  <c r="X210" i="1"/>
  <c r="X166" i="1"/>
  <c r="X65" i="1"/>
  <c r="X168" i="1"/>
  <c r="X67" i="1"/>
  <c r="X170" i="1"/>
  <c r="X69" i="1"/>
  <c r="X172" i="1"/>
  <c r="X181" i="1"/>
  <c r="X174" i="1"/>
  <c r="X71" i="1"/>
  <c r="X176" i="1"/>
  <c r="X73" i="1"/>
  <c r="X178" i="1"/>
  <c r="X75" i="1"/>
  <c r="X180" i="1"/>
  <c r="X77" i="1"/>
  <c r="X182" i="1"/>
  <c r="X183" i="1"/>
  <c r="X184" i="1"/>
  <c r="X113" i="1"/>
  <c r="X186" i="1"/>
  <c r="X79" i="1"/>
  <c r="X188" i="1"/>
  <c r="X81" i="1"/>
  <c r="X190" i="1"/>
  <c r="X83" i="1"/>
  <c r="X192" i="1"/>
  <c r="X85" i="1"/>
  <c r="X194" i="1"/>
  <c r="X87" i="1"/>
  <c r="X196" i="1"/>
  <c r="X89" i="1"/>
  <c r="X91" i="1"/>
  <c r="X93" i="1"/>
  <c r="X185" i="1"/>
  <c r="X187" i="1"/>
  <c r="X95" i="1"/>
  <c r="X97" i="1"/>
  <c r="X189" i="1"/>
  <c r="X99" i="1"/>
  <c r="X101" i="1"/>
  <c r="X121" i="1"/>
  <c r="X211" i="1"/>
  <c r="X103" i="1"/>
  <c r="X123" i="1"/>
  <c r="X105" i="1"/>
  <c r="X2" i="1"/>
  <c r="W119" i="1"/>
  <c r="W4" i="1"/>
  <c r="W129" i="1"/>
  <c r="W6" i="1"/>
  <c r="W151" i="1"/>
  <c r="W8" i="1"/>
  <c r="W131" i="1"/>
  <c r="W10" i="1"/>
  <c r="W133" i="1"/>
  <c r="W12" i="1"/>
  <c r="W135" i="1"/>
  <c r="W14" i="1"/>
  <c r="W167" i="1"/>
  <c r="W16" i="1"/>
  <c r="W169" i="1"/>
  <c r="W18" i="1"/>
  <c r="W137" i="1"/>
  <c r="W20" i="1"/>
  <c r="W139" i="1"/>
  <c r="W22" i="1"/>
  <c r="W171" i="1"/>
  <c r="W24" i="1"/>
  <c r="W141" i="1"/>
  <c r="W26" i="1"/>
  <c r="W143" i="1"/>
  <c r="W28" i="1"/>
  <c r="W145" i="1"/>
  <c r="W30" i="1"/>
  <c r="W173" i="1"/>
  <c r="W32" i="1"/>
  <c r="W153" i="1"/>
  <c r="W34" i="1"/>
  <c r="W147" i="1"/>
  <c r="W36" i="1"/>
  <c r="W175" i="1"/>
  <c r="W38" i="1"/>
  <c r="W177" i="1"/>
  <c r="W40" i="1"/>
  <c r="W125" i="1"/>
  <c r="W42" i="1"/>
  <c r="W179" i="1"/>
  <c r="W44" i="1"/>
  <c r="W191" i="1"/>
  <c r="W46" i="1"/>
  <c r="W155" i="1"/>
  <c r="W48" i="1"/>
  <c r="W193" i="1"/>
  <c r="W50" i="1"/>
  <c r="W195" i="1"/>
  <c r="W52" i="1"/>
  <c r="W127" i="1"/>
  <c r="W54" i="1"/>
  <c r="W107" i="1"/>
  <c r="W56" i="1"/>
  <c r="W197" i="1"/>
  <c r="W58" i="1"/>
  <c r="W115" i="1"/>
  <c r="W60" i="1"/>
  <c r="W198" i="1"/>
  <c r="W62" i="1"/>
  <c r="W199" i="1"/>
  <c r="W64" i="1"/>
  <c r="W200" i="1"/>
  <c r="W66" i="1"/>
  <c r="W201" i="1"/>
  <c r="W68" i="1"/>
  <c r="W117" i="1"/>
  <c r="W70" i="1"/>
  <c r="W109" i="1"/>
  <c r="W72" i="1"/>
  <c r="W111" i="1"/>
  <c r="W74" i="1"/>
  <c r="W157" i="1"/>
  <c r="W76" i="1"/>
  <c r="W159" i="1"/>
  <c r="W78" i="1"/>
  <c r="W161" i="1"/>
  <c r="W80" i="1"/>
  <c r="W163" i="1"/>
  <c r="W82" i="1"/>
  <c r="W165" i="1"/>
  <c r="W84" i="1"/>
  <c r="W202" i="1"/>
  <c r="W86" i="1"/>
  <c r="W149" i="1"/>
  <c r="W88" i="1"/>
  <c r="W203" i="1"/>
  <c r="W90" i="1"/>
  <c r="W3" i="1"/>
  <c r="W92" i="1"/>
  <c r="W5" i="1"/>
  <c r="W94" i="1"/>
  <c r="W204" i="1"/>
  <c r="W96" i="1"/>
  <c r="W205" i="1"/>
  <c r="W98" i="1"/>
  <c r="W7" i="1"/>
  <c r="W100" i="1"/>
  <c r="W9" i="1"/>
  <c r="W102" i="1"/>
  <c r="W206" i="1"/>
  <c r="W104" i="1"/>
  <c r="W11" i="1"/>
  <c r="W106" i="1"/>
  <c r="W13" i="1"/>
  <c r="W108" i="1"/>
  <c r="W15" i="1"/>
  <c r="W110" i="1"/>
  <c r="W207" i="1"/>
  <c r="W112" i="1"/>
  <c r="W17" i="1"/>
  <c r="W114" i="1"/>
  <c r="W19" i="1"/>
  <c r="W116" i="1"/>
  <c r="W21" i="1"/>
  <c r="W118" i="1"/>
  <c r="W23" i="1"/>
  <c r="W120" i="1"/>
  <c r="W25" i="1"/>
  <c r="W122" i="1"/>
  <c r="W27" i="1"/>
  <c r="W124" i="1"/>
  <c r="W29" i="1"/>
  <c r="W126" i="1"/>
  <c r="W31" i="1"/>
  <c r="W128" i="1"/>
  <c r="W33" i="1"/>
  <c r="W130" i="1"/>
  <c r="W35" i="1"/>
  <c r="W132" i="1"/>
  <c r="W208" i="1"/>
  <c r="W134" i="1"/>
  <c r="W37" i="1"/>
  <c r="W136" i="1"/>
  <c r="W39" i="1"/>
  <c r="W138" i="1"/>
  <c r="W41" i="1"/>
  <c r="W140" i="1"/>
  <c r="W43" i="1"/>
  <c r="W142" i="1"/>
  <c r="W45" i="1"/>
  <c r="W144" i="1"/>
  <c r="W47" i="1"/>
  <c r="W146" i="1"/>
  <c r="W49" i="1"/>
  <c r="W148" i="1"/>
  <c r="W209" i="1"/>
  <c r="W150" i="1"/>
  <c r="W51" i="1"/>
  <c r="W152" i="1"/>
  <c r="W53" i="1"/>
  <c r="W154" i="1"/>
  <c r="W55" i="1"/>
  <c r="W156" i="1"/>
  <c r="W57" i="1"/>
  <c r="W158" i="1"/>
  <c r="W59" i="1"/>
  <c r="W160" i="1"/>
  <c r="W61" i="1"/>
  <c r="W162" i="1"/>
  <c r="W63" i="1"/>
  <c r="W164" i="1"/>
  <c r="W210" i="1"/>
  <c r="W166" i="1"/>
  <c r="W65" i="1"/>
  <c r="W168" i="1"/>
  <c r="W67" i="1"/>
  <c r="W170" i="1"/>
  <c r="W69" i="1"/>
  <c r="W172" i="1"/>
  <c r="W181" i="1"/>
  <c r="W174" i="1"/>
  <c r="W71" i="1"/>
  <c r="W176" i="1"/>
  <c r="W73" i="1"/>
  <c r="W178" i="1"/>
  <c r="W75" i="1"/>
  <c r="W180" i="1"/>
  <c r="W77" i="1"/>
  <c r="W182" i="1"/>
  <c r="W183" i="1"/>
  <c r="W184" i="1"/>
  <c r="W113" i="1"/>
  <c r="W186" i="1"/>
  <c r="W79" i="1"/>
  <c r="W188" i="1"/>
  <c r="W81" i="1"/>
  <c r="W190" i="1"/>
  <c r="W83" i="1"/>
  <c r="W192" i="1"/>
  <c r="W85" i="1"/>
  <c r="W194" i="1"/>
  <c r="W87" i="1"/>
  <c r="W196" i="1"/>
  <c r="W89" i="1"/>
  <c r="W91" i="1"/>
  <c r="W93" i="1"/>
  <c r="W185" i="1"/>
  <c r="W187" i="1"/>
  <c r="W95" i="1"/>
  <c r="W97" i="1"/>
  <c r="W189" i="1"/>
  <c r="W99" i="1"/>
  <c r="W101" i="1"/>
  <c r="W121" i="1"/>
  <c r="W211" i="1"/>
  <c r="W103" i="1"/>
  <c r="W123" i="1"/>
  <c r="W105" i="1"/>
  <c r="W2" i="1"/>
  <c r="V2" i="1"/>
  <c r="U119" i="1"/>
  <c r="U4" i="1"/>
  <c r="U129" i="1"/>
  <c r="U6" i="1"/>
  <c r="U151" i="1"/>
  <c r="U8" i="1"/>
  <c r="U131" i="1"/>
  <c r="U10" i="1"/>
  <c r="U133" i="1"/>
  <c r="U12" i="1"/>
  <c r="U135" i="1"/>
  <c r="U14" i="1"/>
  <c r="U167" i="1"/>
  <c r="U16" i="1"/>
  <c r="U169" i="1"/>
  <c r="U18" i="1"/>
  <c r="U137" i="1"/>
  <c r="U20" i="1"/>
  <c r="U139" i="1"/>
  <c r="U22" i="1"/>
  <c r="U171" i="1"/>
  <c r="U24" i="1"/>
  <c r="U141" i="1"/>
  <c r="U26" i="1"/>
  <c r="U143" i="1"/>
  <c r="U28" i="1"/>
  <c r="U145" i="1"/>
  <c r="U30" i="1"/>
  <c r="U173" i="1"/>
  <c r="U32" i="1"/>
  <c r="U153" i="1"/>
  <c r="U34" i="1"/>
  <c r="U147" i="1"/>
  <c r="U36" i="1"/>
  <c r="U175" i="1"/>
  <c r="U38" i="1"/>
  <c r="U177" i="1"/>
  <c r="U40" i="1"/>
  <c r="U125" i="1"/>
  <c r="U42" i="1"/>
  <c r="U179" i="1"/>
  <c r="U44" i="1"/>
  <c r="U191" i="1"/>
  <c r="U46" i="1"/>
  <c r="U155" i="1"/>
  <c r="U48" i="1"/>
  <c r="U193" i="1"/>
  <c r="U50" i="1"/>
  <c r="U195" i="1"/>
  <c r="U52" i="1"/>
  <c r="U127" i="1"/>
  <c r="U54" i="1"/>
  <c r="U107" i="1"/>
  <c r="U56" i="1"/>
  <c r="U197" i="1"/>
  <c r="U58" i="1"/>
  <c r="U115" i="1"/>
  <c r="U60" i="1"/>
  <c r="U198" i="1"/>
  <c r="U62" i="1"/>
  <c r="U199" i="1"/>
  <c r="U64" i="1"/>
  <c r="U200" i="1"/>
  <c r="U66" i="1"/>
  <c r="U201" i="1"/>
  <c r="U68" i="1"/>
  <c r="U117" i="1"/>
  <c r="U70" i="1"/>
  <c r="U109" i="1"/>
  <c r="U72" i="1"/>
  <c r="U111" i="1"/>
  <c r="U74" i="1"/>
  <c r="U157" i="1"/>
  <c r="U76" i="1"/>
  <c r="U159" i="1"/>
  <c r="U78" i="1"/>
  <c r="U161" i="1"/>
  <c r="U80" i="1"/>
  <c r="U163" i="1"/>
  <c r="U82" i="1"/>
  <c r="U165" i="1"/>
  <c r="U84" i="1"/>
  <c r="U202" i="1"/>
  <c r="U86" i="1"/>
  <c r="U149" i="1"/>
  <c r="U88" i="1"/>
  <c r="U203" i="1"/>
  <c r="U90" i="1"/>
  <c r="U3" i="1"/>
  <c r="U92" i="1"/>
  <c r="U5" i="1"/>
  <c r="U94" i="1"/>
  <c r="U204" i="1"/>
  <c r="U96" i="1"/>
  <c r="U205" i="1"/>
  <c r="U98" i="1"/>
  <c r="U7" i="1"/>
  <c r="U100" i="1"/>
  <c r="U9" i="1"/>
  <c r="U102" i="1"/>
  <c r="U206" i="1"/>
  <c r="U104" i="1"/>
  <c r="U11" i="1"/>
  <c r="U106" i="1"/>
  <c r="U13" i="1"/>
  <c r="U108" i="1"/>
  <c r="U15" i="1"/>
  <c r="U110" i="1"/>
  <c r="U207" i="1"/>
  <c r="U112" i="1"/>
  <c r="U17" i="1"/>
  <c r="U114" i="1"/>
  <c r="U19" i="1"/>
  <c r="U116" i="1"/>
  <c r="U21" i="1"/>
  <c r="U118" i="1"/>
  <c r="U23" i="1"/>
  <c r="U120" i="1"/>
  <c r="U25" i="1"/>
  <c r="U122" i="1"/>
  <c r="U27" i="1"/>
  <c r="U124" i="1"/>
  <c r="U29" i="1"/>
  <c r="U126" i="1"/>
  <c r="U31" i="1"/>
  <c r="U128" i="1"/>
  <c r="U33" i="1"/>
  <c r="U130" i="1"/>
  <c r="U35" i="1"/>
  <c r="U132" i="1"/>
  <c r="U208" i="1"/>
  <c r="U134" i="1"/>
  <c r="U37" i="1"/>
  <c r="U136" i="1"/>
  <c r="U39" i="1"/>
  <c r="U138" i="1"/>
  <c r="U41" i="1"/>
  <c r="U140" i="1"/>
  <c r="U43" i="1"/>
  <c r="U142" i="1"/>
  <c r="U45" i="1"/>
  <c r="U144" i="1"/>
  <c r="U47" i="1"/>
  <c r="U146" i="1"/>
  <c r="U49" i="1"/>
  <c r="U148" i="1"/>
  <c r="U209" i="1"/>
  <c r="U150" i="1"/>
  <c r="U51" i="1"/>
  <c r="U152" i="1"/>
  <c r="U53" i="1"/>
  <c r="U154" i="1"/>
  <c r="U55" i="1"/>
  <c r="U156" i="1"/>
  <c r="U57" i="1"/>
  <c r="U158" i="1"/>
  <c r="U59" i="1"/>
  <c r="U160" i="1"/>
  <c r="U61" i="1"/>
  <c r="U162" i="1"/>
  <c r="U63" i="1"/>
  <c r="U164" i="1"/>
  <c r="U210" i="1"/>
  <c r="U166" i="1"/>
  <c r="U65" i="1"/>
  <c r="U168" i="1"/>
  <c r="U67" i="1"/>
  <c r="U170" i="1"/>
  <c r="U69" i="1"/>
  <c r="U172" i="1"/>
  <c r="U181" i="1"/>
  <c r="U174" i="1"/>
  <c r="U71" i="1"/>
  <c r="U176" i="1"/>
  <c r="U73" i="1"/>
  <c r="U178" i="1"/>
  <c r="U75" i="1"/>
  <c r="U180" i="1"/>
  <c r="U77" i="1"/>
  <c r="U182" i="1"/>
  <c r="U183" i="1"/>
  <c r="U184" i="1"/>
  <c r="U113" i="1"/>
  <c r="U186" i="1"/>
  <c r="U79" i="1"/>
  <c r="U188" i="1"/>
  <c r="U81" i="1"/>
  <c r="U190" i="1"/>
  <c r="U83" i="1"/>
  <c r="U192" i="1"/>
  <c r="U85" i="1"/>
  <c r="U194" i="1"/>
  <c r="U87" i="1"/>
  <c r="U196" i="1"/>
  <c r="U89" i="1"/>
  <c r="U91" i="1"/>
  <c r="U93" i="1"/>
  <c r="U185" i="1"/>
  <c r="U187" i="1"/>
  <c r="U95" i="1"/>
  <c r="U97" i="1"/>
  <c r="U189" i="1"/>
  <c r="U99" i="1"/>
  <c r="U101" i="1"/>
  <c r="U121" i="1"/>
  <c r="U211" i="1"/>
  <c r="U103" i="1"/>
  <c r="U123" i="1"/>
  <c r="U105" i="1"/>
  <c r="U2" i="1"/>
  <c r="T119" i="1"/>
  <c r="V119" i="1" s="1"/>
  <c r="T4" i="1"/>
  <c r="T129" i="1"/>
  <c r="T6" i="1"/>
  <c r="AC6" i="1" s="1"/>
  <c r="T151" i="1"/>
  <c r="T8" i="1"/>
  <c r="T131" i="1"/>
  <c r="T10" i="1"/>
  <c r="AC10" i="1" s="1"/>
  <c r="T133" i="1"/>
  <c r="T12" i="1"/>
  <c r="T135" i="1"/>
  <c r="T14" i="1"/>
  <c r="AC14" i="1" s="1"/>
  <c r="T167" i="1"/>
  <c r="T16" i="1"/>
  <c r="T169" i="1"/>
  <c r="T18" i="1"/>
  <c r="AC18" i="1" s="1"/>
  <c r="T137" i="1"/>
  <c r="T20" i="1"/>
  <c r="T139" i="1"/>
  <c r="T22" i="1"/>
  <c r="AC22" i="1" s="1"/>
  <c r="T171" i="1"/>
  <c r="T24" i="1"/>
  <c r="T141" i="1"/>
  <c r="T26" i="1"/>
  <c r="AC26" i="1" s="1"/>
  <c r="T143" i="1"/>
  <c r="T28" i="1"/>
  <c r="T145" i="1"/>
  <c r="T30" i="1"/>
  <c r="AC30" i="1" s="1"/>
  <c r="T173" i="1"/>
  <c r="T32" i="1"/>
  <c r="T153" i="1"/>
  <c r="V153" i="1" s="1"/>
  <c r="T34" i="1"/>
  <c r="AC34" i="1" s="1"/>
  <c r="T147" i="1"/>
  <c r="T36" i="1"/>
  <c r="T175" i="1"/>
  <c r="T38" i="1"/>
  <c r="AC38" i="1" s="1"/>
  <c r="T177" i="1"/>
  <c r="T40" i="1"/>
  <c r="T125" i="1"/>
  <c r="V125" i="1" s="1"/>
  <c r="T42" i="1"/>
  <c r="AC42" i="1" s="1"/>
  <c r="T179" i="1"/>
  <c r="T44" i="1"/>
  <c r="T191" i="1"/>
  <c r="T46" i="1"/>
  <c r="AC46" i="1" s="1"/>
  <c r="T155" i="1"/>
  <c r="T48" i="1"/>
  <c r="T193" i="1"/>
  <c r="V193" i="1" s="1"/>
  <c r="T50" i="1"/>
  <c r="AC50" i="1" s="1"/>
  <c r="T195" i="1"/>
  <c r="T52" i="1"/>
  <c r="T127" i="1"/>
  <c r="T54" i="1"/>
  <c r="AC54" i="1" s="1"/>
  <c r="T107" i="1"/>
  <c r="T56" i="1"/>
  <c r="T197" i="1"/>
  <c r="V197" i="1" s="1"/>
  <c r="T58" i="1"/>
  <c r="AC58" i="1" s="1"/>
  <c r="T115" i="1"/>
  <c r="T60" i="1"/>
  <c r="T198" i="1"/>
  <c r="T62" i="1"/>
  <c r="AC62" i="1" s="1"/>
  <c r="T199" i="1"/>
  <c r="T64" i="1"/>
  <c r="T200" i="1"/>
  <c r="V200" i="1" s="1"/>
  <c r="T66" i="1"/>
  <c r="AC66" i="1" s="1"/>
  <c r="T201" i="1"/>
  <c r="T68" i="1"/>
  <c r="T117" i="1"/>
  <c r="T70" i="1"/>
  <c r="AC70" i="1" s="1"/>
  <c r="T109" i="1"/>
  <c r="T72" i="1"/>
  <c r="T111" i="1"/>
  <c r="V111" i="1" s="1"/>
  <c r="T74" i="1"/>
  <c r="AC74" i="1" s="1"/>
  <c r="T157" i="1"/>
  <c r="T76" i="1"/>
  <c r="T159" i="1"/>
  <c r="T78" i="1"/>
  <c r="AC78" i="1" s="1"/>
  <c r="T161" i="1"/>
  <c r="T80" i="1"/>
  <c r="T163" i="1"/>
  <c r="V163" i="1" s="1"/>
  <c r="T82" i="1"/>
  <c r="AC82" i="1" s="1"/>
  <c r="T165" i="1"/>
  <c r="T84" i="1"/>
  <c r="T202" i="1"/>
  <c r="T86" i="1"/>
  <c r="AC86" i="1" s="1"/>
  <c r="T149" i="1"/>
  <c r="T88" i="1"/>
  <c r="T203" i="1"/>
  <c r="V203" i="1" s="1"/>
  <c r="T90" i="1"/>
  <c r="AC90" i="1" s="1"/>
  <c r="T3" i="1"/>
  <c r="T92" i="1"/>
  <c r="T5" i="1"/>
  <c r="T94" i="1"/>
  <c r="AC94" i="1" s="1"/>
  <c r="T204" i="1"/>
  <c r="T96" i="1"/>
  <c r="T205" i="1"/>
  <c r="V205" i="1" s="1"/>
  <c r="T98" i="1"/>
  <c r="AC98" i="1" s="1"/>
  <c r="T7" i="1"/>
  <c r="T100" i="1"/>
  <c r="T9" i="1"/>
  <c r="T102" i="1"/>
  <c r="AC102" i="1" s="1"/>
  <c r="T206" i="1"/>
  <c r="T104" i="1"/>
  <c r="T11" i="1"/>
  <c r="V11" i="1" s="1"/>
  <c r="T106" i="1"/>
  <c r="AC106" i="1" s="1"/>
  <c r="T13" i="1"/>
  <c r="T108" i="1"/>
  <c r="T15" i="1"/>
  <c r="T110" i="1"/>
  <c r="AC110" i="1" s="1"/>
  <c r="T207" i="1"/>
  <c r="T112" i="1"/>
  <c r="T17" i="1"/>
  <c r="V17" i="1" s="1"/>
  <c r="T114" i="1"/>
  <c r="AC114" i="1" s="1"/>
  <c r="T19" i="1"/>
  <c r="T116" i="1"/>
  <c r="T21" i="1"/>
  <c r="T118" i="1"/>
  <c r="AC118" i="1" s="1"/>
  <c r="T23" i="1"/>
  <c r="T120" i="1"/>
  <c r="T25" i="1"/>
  <c r="V25" i="1" s="1"/>
  <c r="T122" i="1"/>
  <c r="AC122" i="1" s="1"/>
  <c r="T27" i="1"/>
  <c r="T124" i="1"/>
  <c r="T29" i="1"/>
  <c r="T126" i="1"/>
  <c r="AC126" i="1" s="1"/>
  <c r="T31" i="1"/>
  <c r="T128" i="1"/>
  <c r="T33" i="1"/>
  <c r="V33" i="1" s="1"/>
  <c r="T130" i="1"/>
  <c r="AC130" i="1" s="1"/>
  <c r="T35" i="1"/>
  <c r="T132" i="1"/>
  <c r="T208" i="1"/>
  <c r="T134" i="1"/>
  <c r="AC134" i="1" s="1"/>
  <c r="T37" i="1"/>
  <c r="T136" i="1"/>
  <c r="T39" i="1"/>
  <c r="V39" i="1" s="1"/>
  <c r="T138" i="1"/>
  <c r="AC138" i="1" s="1"/>
  <c r="T41" i="1"/>
  <c r="T140" i="1"/>
  <c r="T43" i="1"/>
  <c r="T142" i="1"/>
  <c r="AC142" i="1" s="1"/>
  <c r="T45" i="1"/>
  <c r="T144" i="1"/>
  <c r="T47" i="1"/>
  <c r="V47" i="1" s="1"/>
  <c r="T146" i="1"/>
  <c r="AC146" i="1" s="1"/>
  <c r="T49" i="1"/>
  <c r="T148" i="1"/>
  <c r="T209" i="1"/>
  <c r="T150" i="1"/>
  <c r="AC150" i="1" s="1"/>
  <c r="T51" i="1"/>
  <c r="T152" i="1"/>
  <c r="T53" i="1"/>
  <c r="V53" i="1" s="1"/>
  <c r="T154" i="1"/>
  <c r="AC154" i="1" s="1"/>
  <c r="T55" i="1"/>
  <c r="T156" i="1"/>
  <c r="T57" i="1"/>
  <c r="T158" i="1"/>
  <c r="AC158" i="1" s="1"/>
  <c r="T59" i="1"/>
  <c r="T160" i="1"/>
  <c r="T61" i="1"/>
  <c r="V61" i="1" s="1"/>
  <c r="T162" i="1"/>
  <c r="AC162" i="1" s="1"/>
  <c r="T63" i="1"/>
  <c r="T164" i="1"/>
  <c r="T210" i="1"/>
  <c r="T166" i="1"/>
  <c r="AC166" i="1" s="1"/>
  <c r="T65" i="1"/>
  <c r="T168" i="1"/>
  <c r="T67" i="1"/>
  <c r="V67" i="1" s="1"/>
  <c r="T170" i="1"/>
  <c r="AC170" i="1" s="1"/>
  <c r="T69" i="1"/>
  <c r="T172" i="1"/>
  <c r="T181" i="1"/>
  <c r="T174" i="1"/>
  <c r="AC174" i="1" s="1"/>
  <c r="T71" i="1"/>
  <c r="T176" i="1"/>
  <c r="T73" i="1"/>
  <c r="V73" i="1" s="1"/>
  <c r="T178" i="1"/>
  <c r="AC178" i="1" s="1"/>
  <c r="T75" i="1"/>
  <c r="T180" i="1"/>
  <c r="T77" i="1"/>
  <c r="T182" i="1"/>
  <c r="AC182" i="1" s="1"/>
  <c r="T183" i="1"/>
  <c r="T184" i="1"/>
  <c r="T113" i="1"/>
  <c r="V113" i="1" s="1"/>
  <c r="T186" i="1"/>
  <c r="AC186" i="1" s="1"/>
  <c r="T79" i="1"/>
  <c r="T188" i="1"/>
  <c r="T81" i="1"/>
  <c r="T190" i="1"/>
  <c r="AC190" i="1" s="1"/>
  <c r="T83" i="1"/>
  <c r="T192" i="1"/>
  <c r="T85" i="1"/>
  <c r="V85" i="1" s="1"/>
  <c r="T194" i="1"/>
  <c r="AC194" i="1" s="1"/>
  <c r="T87" i="1"/>
  <c r="T196" i="1"/>
  <c r="T89" i="1"/>
  <c r="T91" i="1"/>
  <c r="T93" i="1"/>
  <c r="T185" i="1"/>
  <c r="T187" i="1"/>
  <c r="V187" i="1" s="1"/>
  <c r="T95" i="1"/>
  <c r="T97" i="1"/>
  <c r="T189" i="1"/>
  <c r="T99" i="1"/>
  <c r="T101" i="1"/>
  <c r="T121" i="1"/>
  <c r="T211" i="1"/>
  <c r="T103" i="1"/>
  <c r="V103" i="1" s="1"/>
  <c r="T123" i="1"/>
  <c r="T105" i="1"/>
  <c r="U47" i="2"/>
  <c r="T47" i="2"/>
  <c r="V47" i="2" s="1"/>
  <c r="U46" i="2"/>
  <c r="T46" i="2"/>
  <c r="V46" i="2" s="1"/>
  <c r="U45" i="2"/>
  <c r="T45" i="2"/>
  <c r="V45" i="2" s="1"/>
  <c r="U44" i="2"/>
  <c r="T44" i="2"/>
  <c r="U43" i="2"/>
  <c r="T43" i="2"/>
  <c r="V43" i="2" s="1"/>
  <c r="U42" i="2"/>
  <c r="T42" i="2"/>
  <c r="V42" i="2" s="1"/>
  <c r="U41" i="2"/>
  <c r="T41" i="2"/>
  <c r="V41" i="2" s="1"/>
  <c r="U40" i="2"/>
  <c r="T40" i="2"/>
  <c r="U39" i="2"/>
  <c r="T39" i="2"/>
  <c r="V39" i="2" s="1"/>
  <c r="U38" i="2"/>
  <c r="T38" i="2"/>
  <c r="V38" i="2" s="1"/>
  <c r="U37" i="2"/>
  <c r="T37" i="2"/>
  <c r="V37" i="2" s="1"/>
  <c r="U36" i="2"/>
  <c r="T36" i="2"/>
  <c r="U35" i="2"/>
  <c r="T35" i="2"/>
  <c r="V35" i="2" s="1"/>
  <c r="U34" i="2"/>
  <c r="T34" i="2"/>
  <c r="V34" i="2" s="1"/>
  <c r="U33" i="2"/>
  <c r="T33" i="2"/>
  <c r="V33" i="2" s="1"/>
  <c r="U32" i="2"/>
  <c r="T32" i="2"/>
  <c r="U31" i="2"/>
  <c r="T31" i="2"/>
  <c r="V31" i="2" s="1"/>
  <c r="U30" i="2"/>
  <c r="T30" i="2"/>
  <c r="V30" i="2" s="1"/>
  <c r="U29" i="2"/>
  <c r="T29" i="2"/>
  <c r="V29" i="2" s="1"/>
  <c r="U28" i="2"/>
  <c r="T28" i="2"/>
  <c r="U27" i="2"/>
  <c r="T27" i="2"/>
  <c r="V27" i="2" s="1"/>
  <c r="U26" i="2"/>
  <c r="T26" i="2"/>
  <c r="V26" i="2" s="1"/>
  <c r="U25" i="2"/>
  <c r="T25" i="2"/>
  <c r="V25" i="2" s="1"/>
  <c r="U24" i="2"/>
  <c r="T24" i="2"/>
  <c r="U23" i="2"/>
  <c r="T23" i="2"/>
  <c r="V23" i="2" s="1"/>
  <c r="U22" i="2"/>
  <c r="T22" i="2"/>
  <c r="V22" i="2" s="1"/>
  <c r="U21" i="2"/>
  <c r="T21" i="2"/>
  <c r="V21" i="2" s="1"/>
  <c r="U20" i="2"/>
  <c r="T20" i="2"/>
  <c r="U19" i="2"/>
  <c r="T19" i="2"/>
  <c r="V19" i="2" s="1"/>
  <c r="U18" i="2"/>
  <c r="T18" i="2"/>
  <c r="V18" i="2" s="1"/>
  <c r="U17" i="2"/>
  <c r="T17" i="2"/>
  <c r="V17" i="2" s="1"/>
  <c r="U16" i="2"/>
  <c r="T16" i="2"/>
  <c r="U15" i="2"/>
  <c r="T15" i="2"/>
  <c r="V15" i="2" s="1"/>
  <c r="U14" i="2"/>
  <c r="T14" i="2"/>
  <c r="V14" i="2" s="1"/>
  <c r="U13" i="2"/>
  <c r="T13" i="2"/>
  <c r="V13" i="2" s="1"/>
  <c r="U12" i="2"/>
  <c r="T12" i="2"/>
  <c r="U11" i="2"/>
  <c r="T11" i="2"/>
  <c r="V11" i="2" s="1"/>
  <c r="U10" i="2"/>
  <c r="T10" i="2"/>
  <c r="V10" i="2" s="1"/>
  <c r="U9" i="2"/>
  <c r="T9" i="2"/>
  <c r="V9" i="2" s="1"/>
  <c r="U8" i="2"/>
  <c r="T8" i="2"/>
  <c r="U7" i="2"/>
  <c r="T7" i="2"/>
  <c r="U6" i="2"/>
  <c r="T6" i="2"/>
  <c r="V6" i="2" s="1"/>
  <c r="U5" i="2"/>
  <c r="T5" i="2"/>
  <c r="V5" i="2" s="1"/>
  <c r="U4" i="2"/>
  <c r="T4" i="2"/>
  <c r="U3" i="2"/>
  <c r="T3" i="2"/>
  <c r="V3" i="2" s="1"/>
  <c r="U2" i="2"/>
  <c r="T2" i="2"/>
  <c r="V2" i="2" s="1"/>
  <c r="V141" i="1" l="1"/>
  <c r="V169" i="1"/>
  <c r="V131" i="1"/>
  <c r="V211" i="1"/>
  <c r="V192" i="1"/>
  <c r="AC184" i="1"/>
  <c r="V176" i="1"/>
  <c r="AC168" i="1"/>
  <c r="V160" i="1"/>
  <c r="V152" i="1"/>
  <c r="V144" i="1"/>
  <c r="V136" i="1"/>
  <c r="V128" i="1"/>
  <c r="V120" i="1"/>
  <c r="V112" i="1"/>
  <c r="V104" i="1"/>
  <c r="V96" i="1"/>
  <c r="V88" i="1"/>
  <c r="V80" i="1"/>
  <c r="AC72" i="1"/>
  <c r="V64" i="1"/>
  <c r="AC56" i="1"/>
  <c r="V48" i="1"/>
  <c r="AC40" i="1"/>
  <c r="V32" i="1"/>
  <c r="V24" i="1"/>
  <c r="V16" i="1"/>
  <c r="V8" i="1"/>
  <c r="V123" i="1"/>
  <c r="V95" i="1"/>
  <c r="V194" i="1"/>
  <c r="V186" i="1"/>
  <c r="V178" i="1"/>
  <c r="V170" i="1"/>
  <c r="V162" i="1"/>
  <c r="V154" i="1"/>
  <c r="V146" i="1"/>
  <c r="V138" i="1"/>
  <c r="V130" i="1"/>
  <c r="V122" i="1"/>
  <c r="V114" i="1"/>
  <c r="V106" i="1"/>
  <c r="V98" i="1"/>
  <c r="V90" i="1"/>
  <c r="V82" i="1"/>
  <c r="V74" i="1"/>
  <c r="V66" i="1"/>
  <c r="V58" i="1"/>
  <c r="V50" i="1"/>
  <c r="V42" i="1"/>
  <c r="V34" i="1"/>
  <c r="V26" i="1"/>
  <c r="V18" i="1"/>
  <c r="V10" i="1"/>
  <c r="V99" i="1"/>
  <c r="V89" i="1"/>
  <c r="V81" i="1"/>
  <c r="V77" i="1"/>
  <c r="V181" i="1"/>
  <c r="V210" i="1"/>
  <c r="V57" i="1"/>
  <c r="V209" i="1"/>
  <c r="V43" i="1"/>
  <c r="V208" i="1"/>
  <c r="V29" i="1"/>
  <c r="V21" i="1"/>
  <c r="V15" i="1"/>
  <c r="V9" i="1"/>
  <c r="V5" i="1"/>
  <c r="V202" i="1"/>
  <c r="V159" i="1"/>
  <c r="V117" i="1"/>
  <c r="V198" i="1"/>
  <c r="V127" i="1"/>
  <c r="V191" i="1"/>
  <c r="V175" i="1"/>
  <c r="V145" i="1"/>
  <c r="V139" i="1"/>
  <c r="V135" i="1"/>
  <c r="V129" i="1"/>
  <c r="V189" i="1"/>
  <c r="V196" i="1"/>
  <c r="V188" i="1"/>
  <c r="V180" i="1"/>
  <c r="V172" i="1"/>
  <c r="V164" i="1"/>
  <c r="V156" i="1"/>
  <c r="V148" i="1"/>
  <c r="V140" i="1"/>
  <c r="V132" i="1"/>
  <c r="V124" i="1"/>
  <c r="V116" i="1"/>
  <c r="V108" i="1"/>
  <c r="V100" i="1"/>
  <c r="V92" i="1"/>
  <c r="V84" i="1"/>
  <c r="V76" i="1"/>
  <c r="V68" i="1"/>
  <c r="V60" i="1"/>
  <c r="V52" i="1"/>
  <c r="V44" i="1"/>
  <c r="V36" i="1"/>
  <c r="V28" i="1"/>
  <c r="V20" i="1"/>
  <c r="V12" i="1"/>
  <c r="V4" i="1"/>
  <c r="V185" i="1"/>
  <c r="V72" i="1"/>
  <c r="V184" i="1"/>
  <c r="V56" i="1"/>
  <c r="V168" i="1"/>
  <c r="V40" i="1"/>
  <c r="AC192" i="1"/>
  <c r="AC176" i="1"/>
  <c r="AC160" i="1"/>
  <c r="AC152" i="1"/>
  <c r="AC144" i="1"/>
  <c r="AC136" i="1"/>
  <c r="AC128" i="1"/>
  <c r="AC120" i="1"/>
  <c r="AC112" i="1"/>
  <c r="AC104" i="1"/>
  <c r="AC96" i="1"/>
  <c r="AC88" i="1"/>
  <c r="AC80" i="1"/>
  <c r="AC64" i="1"/>
  <c r="AC48" i="1"/>
  <c r="AC32" i="1"/>
  <c r="AC24" i="1"/>
  <c r="AC16" i="1"/>
  <c r="AC8" i="1"/>
  <c r="V105" i="1"/>
  <c r="V97" i="1"/>
  <c r="V87" i="1"/>
  <c r="V79" i="1"/>
  <c r="V75" i="1"/>
  <c r="V69" i="1"/>
  <c r="V63" i="1"/>
  <c r="V55" i="1"/>
  <c r="V49" i="1"/>
  <c r="V41" i="1"/>
  <c r="V35" i="1"/>
  <c r="V27" i="1"/>
  <c r="V19" i="1"/>
  <c r="V13" i="1"/>
  <c r="V7" i="1"/>
  <c r="V3" i="1"/>
  <c r="V165" i="1"/>
  <c r="V157" i="1"/>
  <c r="V201" i="1"/>
  <c r="V115" i="1"/>
  <c r="V195" i="1"/>
  <c r="V179" i="1"/>
  <c r="V147" i="1"/>
  <c r="V143" i="1"/>
  <c r="V137" i="1"/>
  <c r="V133" i="1"/>
  <c r="AC196" i="1"/>
  <c r="AC188" i="1"/>
  <c r="AC180" i="1"/>
  <c r="AC172" i="1"/>
  <c r="AC164" i="1"/>
  <c r="AC156" i="1"/>
  <c r="AC148" i="1"/>
  <c r="AC140" i="1"/>
  <c r="AC132" i="1"/>
  <c r="AC124" i="1"/>
  <c r="AC116" i="1"/>
  <c r="AC108" i="1"/>
  <c r="AC100" i="1"/>
  <c r="AC92" i="1"/>
  <c r="AC84" i="1"/>
  <c r="AC76" i="1"/>
  <c r="AC68" i="1"/>
  <c r="AC60" i="1"/>
  <c r="AC52" i="1"/>
  <c r="AC44" i="1"/>
  <c r="AC36" i="1"/>
  <c r="AC28" i="1"/>
  <c r="AC20" i="1"/>
  <c r="AC12" i="1"/>
  <c r="AC4" i="1"/>
  <c r="V93" i="1"/>
  <c r="V71" i="1"/>
  <c r="V59" i="1"/>
  <c r="V45" i="1"/>
  <c r="V23" i="1"/>
  <c r="V206" i="1"/>
  <c r="V149" i="1"/>
  <c r="V109" i="1"/>
  <c r="V107" i="1"/>
  <c r="V155" i="1"/>
  <c r="V173" i="1"/>
  <c r="V171" i="1"/>
  <c r="V167" i="1"/>
  <c r="V151" i="1"/>
  <c r="V121" i="1"/>
  <c r="V83" i="1"/>
  <c r="V183" i="1"/>
  <c r="V65" i="1"/>
  <c r="V51" i="1"/>
  <c r="V37" i="1"/>
  <c r="V31" i="1"/>
  <c r="V207" i="1"/>
  <c r="V204" i="1"/>
  <c r="V161" i="1"/>
  <c r="V199" i="1"/>
  <c r="V177" i="1"/>
  <c r="V101" i="1"/>
  <c r="V91" i="1"/>
  <c r="V190" i="1"/>
  <c r="V182" i="1"/>
  <c r="V174" i="1"/>
  <c r="V166" i="1"/>
  <c r="V158" i="1"/>
  <c r="V150" i="1"/>
  <c r="V142" i="1"/>
  <c r="V134" i="1"/>
  <c r="V126" i="1"/>
  <c r="V118" i="1"/>
  <c r="V110" i="1"/>
  <c r="V102" i="1"/>
  <c r="V94" i="1"/>
  <c r="V86" i="1"/>
  <c r="V78" i="1"/>
  <c r="V70" i="1"/>
  <c r="V62" i="1"/>
  <c r="V54" i="1"/>
  <c r="V46" i="1"/>
  <c r="V38" i="1"/>
  <c r="V30" i="1"/>
  <c r="V22" i="1"/>
  <c r="V14" i="1"/>
  <c r="V6" i="1"/>
  <c r="V4" i="2"/>
  <c r="V8" i="2"/>
  <c r="V12" i="2"/>
  <c r="V16" i="2"/>
  <c r="V20" i="2"/>
  <c r="V24" i="2"/>
  <c r="V28" i="2"/>
  <c r="V32" i="2"/>
  <c r="V36" i="2"/>
  <c r="V40" i="2"/>
  <c r="V4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List of Australian Open men's singles champions" description="Connection to the 'List of Australian Open men's singles champions' query in the workbook." type="5" refreshedVersion="0" background="1" saveData="1">
    <dbPr connection="Provider=Microsoft.Mashup.OleDb.1;Data Source=$Workbook$;Location=&quot;List of Australian Open men's singles champions&quot;;Extended Properties=&quot;&quot;" command="SELECT * FROM [List of Australian Open men's singles champions]"/>
  </connection>
  <connection id="2" xr16:uid="{00000000-0015-0000-FFFF-FFFF01000000}" keepAlive="1" name="Query - List of Australian Open women's singles champions" description="Connection to the 'List of Australian Open women's singles champions' query in the workbook." type="5" refreshedVersion="0" background="1">
    <dbPr connection="Provider=Microsoft.Mashup.OleDb.1;Data Source=$Workbook$;Location=&quot;List of Australian Open women's singles champions&quot;;Extended Properties=&quot;&quot;" command="SELECT * FROM [List of Australian Open women's singles champions]"/>
  </connection>
  <connection id="3" xr16:uid="{00000000-0015-0000-FFFF-FFFF02000000}" keepAlive="1" name="Query - win rate" description="Connection to the 'win rate' query in the workbook." type="5" refreshedVersion="0" background="1" saveData="1">
    <dbPr connection="Provider=Microsoft.Mashup.OleDb.1;Data Source=$Workbook$;Location=&quot;win rate&quot;;Extended Properties=&quot;&quot;" command="SELECT * FROM [win rate]"/>
  </connection>
  <connection id="4" xr16:uid="{00000000-0015-0000-FFFF-FFFF03000000}" keepAlive="1" name="Query - win rate (2)" description="Connection to the 'win rate (2)' query in the workbook." type="5" refreshedVersion="0" background="1" saveData="1">
    <dbPr connection="Provider=Microsoft.Mashup.OleDb.1;Data Source=$Workbook$;Location=&quot;win rate (2)&quot;;Extended Properties=&quot;&quot;" command="SELECT * FROM [win rate (2)]"/>
  </connection>
  <connection id="5" xr16:uid="{00000000-0015-0000-FFFF-FFFF04000000}" keepAlive="1" name="Query - win rate (3)" description="Connection to the 'win rate (3)' query in the workbook." type="5" refreshedVersion="0" background="1" saveData="1">
    <dbPr connection="Provider=Microsoft.Mashup.OleDb.1;Data Source=$Workbook$;Location=&quot;win rate (3)&quot;;Extended Properties=&quot;&quot;" command="SELECT * FROM [win rate (3)]"/>
  </connection>
</connections>
</file>

<file path=xl/sharedStrings.xml><?xml version="1.0" encoding="utf-8"?>
<sst xmlns="http://schemas.openxmlformats.org/spreadsheetml/2006/main" count="2352" uniqueCount="583">
  <si>
    <t>Year</t>
  </si>
  <si>
    <t>Gender</t>
  </si>
  <si>
    <t>Champion</t>
  </si>
  <si>
    <t>Champion Nationality</t>
  </si>
  <si>
    <t>Champion Country</t>
  </si>
  <si>
    <t>Champion Seed</t>
  </si>
  <si>
    <t>Mins</t>
  </si>
  <si>
    <t>Score</t>
  </si>
  <si>
    <t>Runner-up</t>
  </si>
  <si>
    <t>Runner-up Nationality</t>
  </si>
  <si>
    <t>Runner-up Country</t>
  </si>
  <si>
    <t>Runner-up Seed</t>
  </si>
  <si>
    <t>1905</t>
  </si>
  <si>
    <t>Rodney Heath</t>
  </si>
  <si>
    <t>Albert Curtis</t>
  </si>
  <si>
    <t>4–6, 6–3, 6–4, 6–4</t>
  </si>
  <si>
    <t>1906</t>
  </si>
  <si>
    <t>Anthony Wilding</t>
  </si>
  <si>
    <t>Francis Fisher</t>
  </si>
  <si>
    <t>6–0, 6–4, 6–4</t>
  </si>
  <si>
    <t>1907</t>
  </si>
  <si>
    <t>Horace Rice</t>
  </si>
  <si>
    <t>Harry Parker</t>
  </si>
  <si>
    <t>6–3, 6–4, 6–4</t>
  </si>
  <si>
    <t>1908</t>
  </si>
  <si>
    <t>Fred Alexander</t>
  </si>
  <si>
    <t>Alfred Dunlop</t>
  </si>
  <si>
    <t>3–6, 3–6, 6–0, 6–2, 6–3</t>
  </si>
  <si>
    <t>1909</t>
  </si>
  <si>
    <t>Ernie Parker</t>
  </si>
  <si>
    <t>6–1, 7–5, 6–2</t>
  </si>
  <si>
    <t>1910</t>
  </si>
  <si>
    <t>6–4, 6–3, 6–2</t>
  </si>
  <si>
    <t>1911</t>
  </si>
  <si>
    <t>Norman Brookes</t>
  </si>
  <si>
    <t>6–1, 6–2, 6–3</t>
  </si>
  <si>
    <t>1912</t>
  </si>
  <si>
    <t>James Cecil Parke</t>
  </si>
  <si>
    <t>Alfred Beamish</t>
  </si>
  <si>
    <t>3–6, 6–3, 1–6, 6–1, 7–5</t>
  </si>
  <si>
    <t>1913</t>
  </si>
  <si>
    <t>2–6, 6–1, 6–3, 6–2</t>
  </si>
  <si>
    <t>1914</t>
  </si>
  <si>
    <t>Arthur O'Hara Wood</t>
  </si>
  <si>
    <t>Gerald Patterson</t>
  </si>
  <si>
    <t>6–4, 6–3, 5–7, 6–1</t>
  </si>
  <si>
    <t>1915</t>
  </si>
  <si>
    <t>Gordon Lowe</t>
  </si>
  <si>
    <t>4–6, 6–1, 6–1, 6–4</t>
  </si>
  <si>
    <t>1919</t>
  </si>
  <si>
    <t>Algernon Kingscote</t>
  </si>
  <si>
    <t>Eric Pockley</t>
  </si>
  <si>
    <t>6–4, 6–0, 6–3</t>
  </si>
  <si>
    <t>1920</t>
  </si>
  <si>
    <t>Pat O'Hara Wood</t>
  </si>
  <si>
    <t>Ronald Thomas</t>
  </si>
  <si>
    <t>6–3, 4–6, 6–8, 6–1, 6–3</t>
  </si>
  <si>
    <t>1921</t>
  </si>
  <si>
    <t>Rhys Gemmell</t>
  </si>
  <si>
    <t>Alf Hedeman</t>
  </si>
  <si>
    <t>7–5, 6–1, 6–4</t>
  </si>
  <si>
    <t>1922</t>
  </si>
  <si>
    <t>James Anderson</t>
  </si>
  <si>
    <t>6–0, 3–6, 3–6, 6–3, 6–2</t>
  </si>
  <si>
    <t>1923</t>
  </si>
  <si>
    <t>Bert St. John</t>
  </si>
  <si>
    <t>6–1, 6–1, 6–3</t>
  </si>
  <si>
    <t>1924</t>
  </si>
  <si>
    <t>Richard Schlesinger</t>
  </si>
  <si>
    <t>6–3, 6–4, 3–6, 5–7, 6–3</t>
  </si>
  <si>
    <t>1925</t>
  </si>
  <si>
    <t>11–9, 2–6, 6–2, 6–3</t>
  </si>
  <si>
    <t>1926</t>
  </si>
  <si>
    <t>John Hawkes</t>
  </si>
  <si>
    <t>James Willard</t>
  </si>
  <si>
    <t>6–1, 6–3, 6–1</t>
  </si>
  <si>
    <t>1927</t>
  </si>
  <si>
    <t>3–6, 6–4, 3–6, 18–16, 6–3</t>
  </si>
  <si>
    <t>1928</t>
  </si>
  <si>
    <t>Jean Borotra</t>
  </si>
  <si>
    <t>Jack Cummings</t>
  </si>
  <si>
    <t>6–4, 6–1, 4–6, 5–7, 6–3</t>
  </si>
  <si>
    <t>1929</t>
  </si>
  <si>
    <t>John Colin Gregory</t>
  </si>
  <si>
    <t>6–2, 6–2, 5–7, 7–5</t>
  </si>
  <si>
    <t>1930</t>
  </si>
  <si>
    <t>Edgar Moon</t>
  </si>
  <si>
    <t>Harry Hopman</t>
  </si>
  <si>
    <t>6–3, 6–1, 6–3</t>
  </si>
  <si>
    <t>1931</t>
  </si>
  <si>
    <t>Jack Crawford</t>
  </si>
  <si>
    <t>6–4, 6–2, 2–6, 6–1</t>
  </si>
  <si>
    <t>1932</t>
  </si>
  <si>
    <t>4–6, 6–3, 3–6, 6–3, 6–1</t>
  </si>
  <si>
    <t>1933</t>
  </si>
  <si>
    <t>Keith Gledhill</t>
  </si>
  <si>
    <t>2–6, 7–5, 6–3, 6–2</t>
  </si>
  <si>
    <t>1934</t>
  </si>
  <si>
    <t>Fred Perry</t>
  </si>
  <si>
    <t>6–3, 7–5, 6–1</t>
  </si>
  <si>
    <t>1935</t>
  </si>
  <si>
    <t>2–6, 6–4, 6–4, 6–4</t>
  </si>
  <si>
    <t>1936</t>
  </si>
  <si>
    <t>Adrian Quist</t>
  </si>
  <si>
    <t>6–2, 6–3, 4–6, 3–6, 9–7</t>
  </si>
  <si>
    <t>1937</t>
  </si>
  <si>
    <t>Vivian McGrath</t>
  </si>
  <si>
    <t>John Bromwich</t>
  </si>
  <si>
    <t>6–3, 1–6, 6–0, 2–6, 6–1</t>
  </si>
  <si>
    <t>1938</t>
  </si>
  <si>
    <t>Don Budge</t>
  </si>
  <si>
    <t>6–4, 6–2, 6–1</t>
  </si>
  <si>
    <t>1939</t>
  </si>
  <si>
    <t>6–4, 6–1, 6–3</t>
  </si>
  <si>
    <t>1940</t>
  </si>
  <si>
    <t>6–3, 6–1, 6–2</t>
  </si>
  <si>
    <t>1946</t>
  </si>
  <si>
    <t>Dinny Pails</t>
  </si>
  <si>
    <t>5–7, 6–3, 7–5, 3–6, 6–2</t>
  </si>
  <si>
    <t>1947</t>
  </si>
  <si>
    <t>4–6, 6–4, 3–6, 7–5, 8–6</t>
  </si>
  <si>
    <t>1948</t>
  </si>
  <si>
    <t>6–4, 3–6, 6–3, 2–6, 6–3</t>
  </si>
  <si>
    <t>1949</t>
  </si>
  <si>
    <t>Frank Sedgman</t>
  </si>
  <si>
    <t>6–3, 6–2, 6–2</t>
  </si>
  <si>
    <t>1950</t>
  </si>
  <si>
    <t>Ken McGregor</t>
  </si>
  <si>
    <t>6–3, 6–4, 4–6, 6–1</t>
  </si>
  <si>
    <t>1951</t>
  </si>
  <si>
    <t>Dick Savitt</t>
  </si>
  <si>
    <t>6–3, 2–6, 6–3, 6–1</t>
  </si>
  <si>
    <t>1952</t>
  </si>
  <si>
    <t>7–5, 12–10, 2–6, 6–2</t>
  </si>
  <si>
    <t>1953</t>
  </si>
  <si>
    <t>Ken Rosewall</t>
  </si>
  <si>
    <t>Mervyn Rose</t>
  </si>
  <si>
    <t>6–0, 6–3, 6–4</t>
  </si>
  <si>
    <t>1954</t>
  </si>
  <si>
    <t>Rex Hartwig</t>
  </si>
  <si>
    <t>6–2, 0–6, 6–4, 6–2</t>
  </si>
  <si>
    <t>1955</t>
  </si>
  <si>
    <t>Lew Hoad</t>
  </si>
  <si>
    <t>9–7, 6–4, 6–4</t>
  </si>
  <si>
    <t>1956</t>
  </si>
  <si>
    <t>6–4, 3–6, 6–4, 7–5</t>
  </si>
  <si>
    <t>1957</t>
  </si>
  <si>
    <t>Ashley Cooper</t>
  </si>
  <si>
    <t>Neale Fraser</t>
  </si>
  <si>
    <t>6–3, 9–11, 6–4, 6–2</t>
  </si>
  <si>
    <t>1958</t>
  </si>
  <si>
    <t>Malcolm Anderson</t>
  </si>
  <si>
    <t>7–5, 6–3, 6–4</t>
  </si>
  <si>
    <t>1959</t>
  </si>
  <si>
    <t>6–1, 6–2, 3–6, 6–3</t>
  </si>
  <si>
    <t>1960</t>
  </si>
  <si>
    <t>Rod Laver</t>
  </si>
  <si>
    <t>5–7, 3–6, 6–3, 8–6, 8–6</t>
  </si>
  <si>
    <t>1961</t>
  </si>
  <si>
    <t>Roy Emerson</t>
  </si>
  <si>
    <t>1–6, 6–3, 7–5, 6–4</t>
  </si>
  <si>
    <t>1962</t>
  </si>
  <si>
    <t>8–6, 0–6, 6–4, 6–4</t>
  </si>
  <si>
    <t>1963</t>
  </si>
  <si>
    <t>Ken Fletcher</t>
  </si>
  <si>
    <t>6–3, 6–3, 6–1</t>
  </si>
  <si>
    <t>1964</t>
  </si>
  <si>
    <t>Fred Stolle</t>
  </si>
  <si>
    <t>6–3, 6–4, 6–2</t>
  </si>
  <si>
    <t>1965</t>
  </si>
  <si>
    <t>7–9, 2–6, 6–4, 7–5, 6–1</t>
  </si>
  <si>
    <t>1966</t>
  </si>
  <si>
    <t>Arthur Ashe</t>
  </si>
  <si>
    <t>6–4, 6–8, 6–2, 6–3</t>
  </si>
  <si>
    <t>1967</t>
  </si>
  <si>
    <t>6–4, 6–1, 6–4</t>
  </si>
  <si>
    <t>1968</t>
  </si>
  <si>
    <t>William Bowrey</t>
  </si>
  <si>
    <t>Juan Gisbert</t>
  </si>
  <si>
    <t>7–5, 2–6, 9–7, 6–4</t>
  </si>
  <si>
    <t>1969</t>
  </si>
  <si>
    <t>Andrés Gimeno</t>
  </si>
  <si>
    <t>6–3, 6–4, 7–5</t>
  </si>
  <si>
    <t>1970</t>
  </si>
  <si>
    <t>Dick Crealy</t>
  </si>
  <si>
    <t>6–4, 9–7, 6–2</t>
  </si>
  <si>
    <t>1971</t>
  </si>
  <si>
    <t>6–1, 7–5, 6–3</t>
  </si>
  <si>
    <t>1972</t>
  </si>
  <si>
    <t>1973</t>
  </si>
  <si>
    <t>John Newcombe</t>
  </si>
  <si>
    <t>Onny Parun</t>
  </si>
  <si>
    <t>6–3, 6–7, 7–5, 6–1</t>
  </si>
  <si>
    <t>1974</t>
  </si>
  <si>
    <t>Jimmy Connors</t>
  </si>
  <si>
    <t>Phil Dent</t>
  </si>
  <si>
    <t>1975</t>
  </si>
  <si>
    <t>1976</t>
  </si>
  <si>
    <t>Mark Edmondson</t>
  </si>
  <si>
    <t>6–7, 6–3, 7–6, 6–1</t>
  </si>
  <si>
    <t>Roscoe Tanner</t>
  </si>
  <si>
    <t>Guillermo Vilas</t>
  </si>
  <si>
    <t>6–3, 6–3, 6–3</t>
  </si>
  <si>
    <t>Vitas Gerulaitis</t>
  </si>
  <si>
    <t>John Lloyd</t>
  </si>
  <si>
    <t>1978</t>
  </si>
  <si>
    <t>John Marks</t>
  </si>
  <si>
    <t>6–4, 6–4, 3–6, 6–3</t>
  </si>
  <si>
    <t>1979</t>
  </si>
  <si>
    <t>John Sadri</t>
  </si>
  <si>
    <t>1980</t>
  </si>
  <si>
    <t>Brian Teacher</t>
  </si>
  <si>
    <t>Kim Warwick</t>
  </si>
  <si>
    <t>1981</t>
  </si>
  <si>
    <t>Johan Kriek</t>
  </si>
  <si>
    <t>Steve Denton</t>
  </si>
  <si>
    <t>1982</t>
  </si>
  <si>
    <t>6–3, 6–3, 6–2</t>
  </si>
  <si>
    <t>1983</t>
  </si>
  <si>
    <t>Mats Wilander</t>
  </si>
  <si>
    <t>Ivan Lendl</t>
  </si>
  <si>
    <t>6–1, 6–4, 6–4</t>
  </si>
  <si>
    <t>1984</t>
  </si>
  <si>
    <t>Kevin Curren</t>
  </si>
  <si>
    <t>1985</t>
  </si>
  <si>
    <t>Stefan Edberg</t>
  </si>
  <si>
    <t>6–4, 6–3, 6–3</t>
  </si>
  <si>
    <t>1987</t>
  </si>
  <si>
    <t>Pat Cash</t>
  </si>
  <si>
    <t>1988</t>
  </si>
  <si>
    <t>1989</t>
  </si>
  <si>
    <t>Miloslav Mečíř</t>
  </si>
  <si>
    <t>6–2, 6–2, 6–2</t>
  </si>
  <si>
    <t>1990</t>
  </si>
  <si>
    <t>1991</t>
  </si>
  <si>
    <t>Boris Becker</t>
  </si>
  <si>
    <t>1–6, 6–4, 6–4, 6–4</t>
  </si>
  <si>
    <t>1992</t>
  </si>
  <si>
    <t>Jim Courier</t>
  </si>
  <si>
    <t>6–3, 3–6, 6–4, 6–2</t>
  </si>
  <si>
    <t>1993</t>
  </si>
  <si>
    <t>6–2, 6–1, 2–6, 7–5</t>
  </si>
  <si>
    <t>1994</t>
  </si>
  <si>
    <t>Pete Sampras</t>
  </si>
  <si>
    <t>Todd Martin</t>
  </si>
  <si>
    <t>1995</t>
  </si>
  <si>
    <t>Andre Agassi</t>
  </si>
  <si>
    <t>1996</t>
  </si>
  <si>
    <t>Michael Chang</t>
  </si>
  <si>
    <t>6–2, 6–4, 2–6, 6–2</t>
  </si>
  <si>
    <t>1997</t>
  </si>
  <si>
    <t>Carlos Moyá</t>
  </si>
  <si>
    <t>6–2, 6–3, 6–3</t>
  </si>
  <si>
    <t>1998</t>
  </si>
  <si>
    <t>Petr Korda</t>
  </si>
  <si>
    <t>Marcelo Ríos</t>
  </si>
  <si>
    <t>1999</t>
  </si>
  <si>
    <t>Yevgeny Kafelnikov</t>
  </si>
  <si>
    <t>Thomas Enqvist</t>
  </si>
  <si>
    <t>2000</t>
  </si>
  <si>
    <t>3–6, 6–3, 6–2, 6–4</t>
  </si>
  <si>
    <t>2001</t>
  </si>
  <si>
    <t>Arnaud Clément</t>
  </si>
  <si>
    <t>6–4, 6–2, 6–2</t>
  </si>
  <si>
    <t>2002</t>
  </si>
  <si>
    <t>Thomas Johansson</t>
  </si>
  <si>
    <t>Marat Safin</t>
  </si>
  <si>
    <t>2003</t>
  </si>
  <si>
    <t>Rainer Schüttler</t>
  </si>
  <si>
    <t>6–2, 6–2, 6–1</t>
  </si>
  <si>
    <t>2004</t>
  </si>
  <si>
    <t>Roger Federer</t>
  </si>
  <si>
    <t>2005</t>
  </si>
  <si>
    <t>Lleyton Hewitt</t>
  </si>
  <si>
    <t>1–6, 6–3, 6–4, 6–4</t>
  </si>
  <si>
    <t>2006</t>
  </si>
  <si>
    <t>Marcos Baghdatis</t>
  </si>
  <si>
    <t>5–7, 7–5, 6–0, 6–2</t>
  </si>
  <si>
    <t>2007</t>
  </si>
  <si>
    <t>Fernando González</t>
  </si>
  <si>
    <t>2008</t>
  </si>
  <si>
    <t>Novak Djokovic</t>
  </si>
  <si>
    <t>Jo-Wilfried Tsonga</t>
  </si>
  <si>
    <t>2009</t>
  </si>
  <si>
    <t>Rafael Nadal</t>
  </si>
  <si>
    <t>2010</t>
  </si>
  <si>
    <t>Andy Murray</t>
  </si>
  <si>
    <t>2011</t>
  </si>
  <si>
    <t>6–4, 6–2, 6–3</t>
  </si>
  <si>
    <t>2012</t>
  </si>
  <si>
    <t>2013</t>
  </si>
  <si>
    <t>2014</t>
  </si>
  <si>
    <t>Stan Wawrinka</t>
  </si>
  <si>
    <t>6–3, 6–2, 3–6, 6–3</t>
  </si>
  <si>
    <t>2015</t>
  </si>
  <si>
    <t>2016</t>
  </si>
  <si>
    <t>2017</t>
  </si>
  <si>
    <t>6–4, 3–6, 6–1, 3–6, 6–3</t>
  </si>
  <si>
    <t>2018</t>
  </si>
  <si>
    <t>Marin Čilić</t>
  </si>
  <si>
    <t>2019</t>
  </si>
  <si>
    <t>6–3, 6–2, 6–3</t>
  </si>
  <si>
    <t>2020</t>
  </si>
  <si>
    <t>Dominic Thiem</t>
  </si>
  <si>
    <t>6–4, 4–6, 2–6, 6–3, 6–4</t>
  </si>
  <si>
    <t>2021</t>
  </si>
  <si>
    <t>Daniil Medvedev</t>
  </si>
  <si>
    <t>7–5, 6–2, 6–2</t>
  </si>
  <si>
    <t>2022</t>
  </si>
  <si>
    <t>Men's</t>
  </si>
  <si>
    <t>Margaret Molesworth</t>
  </si>
  <si>
    <t>Esna Boyd</t>
  </si>
  <si>
    <t>6–3, 10–8</t>
  </si>
  <si>
    <t>6–1, 7–5</t>
  </si>
  <si>
    <t>Sylvia Lance Harper</t>
  </si>
  <si>
    <t>6–3, 3–6, 8–6</t>
  </si>
  <si>
    <t>Daphne Akhurst</t>
  </si>
  <si>
    <t>1–6, 8–6, 6–4</t>
  </si>
  <si>
    <t>6–1, 6–3</t>
  </si>
  <si>
    <t>5–7, 6–1, 6–2</t>
  </si>
  <si>
    <t>7–5, 6–2</t>
  </si>
  <si>
    <t>Louie Bickerton</t>
  </si>
  <si>
    <t>6–1, 5–7, 6–2</t>
  </si>
  <si>
    <t>10–8, 2–6, 7–5</t>
  </si>
  <si>
    <t>Coral Buttsworth</t>
  </si>
  <si>
    <t>Marjorie Cox Crawford</t>
  </si>
  <si>
    <t>1–6, 6–3, 6–4</t>
  </si>
  <si>
    <t>Kathleen Le Messurier</t>
  </si>
  <si>
    <t>9–7, 6–4</t>
  </si>
  <si>
    <t>Joan Hartigan</t>
  </si>
  <si>
    <t>6–4, 6–3</t>
  </si>
  <si>
    <t>6–1, 6–4</t>
  </si>
  <si>
    <t>Dorothy Round</t>
  </si>
  <si>
    <t>Nancy Lyle</t>
  </si>
  <si>
    <t>1–6, 6–1, 6–3</t>
  </si>
  <si>
    <t>Nancye Wynne Bolton</t>
  </si>
  <si>
    <t>6–4, 6–4</t>
  </si>
  <si>
    <t>Emily Hood Westacott</t>
  </si>
  <si>
    <t>6–3, 5–7, 6–4</t>
  </si>
  <si>
    <t>Dorothy Cheney</t>
  </si>
  <si>
    <t>Dorothy Stevenson</t>
  </si>
  <si>
    <t>6–3, 6–2</t>
  </si>
  <si>
    <t>Nell Hall Hopman</t>
  </si>
  <si>
    <t>6–1, 6–2</t>
  </si>
  <si>
    <t>Thelma Coyne Long</t>
  </si>
  <si>
    <t>5–7, 6–4, 6–0</t>
  </si>
  <si>
    <t>Joyce Fitch</t>
  </si>
  <si>
    <t>Marie Toomey</t>
  </si>
  <si>
    <t>6–3, 6–1</t>
  </si>
  <si>
    <t>Doris Hart</t>
  </si>
  <si>
    <t>6–3, 6–4</t>
  </si>
  <si>
    <t>Louise Brough</t>
  </si>
  <si>
    <t>6–4, 3–6, 6–4</t>
  </si>
  <si>
    <t>Helen Angwin</t>
  </si>
  <si>
    <t>6–2, 6–3</t>
  </si>
  <si>
    <t>Maureen Connolly</t>
  </si>
  <si>
    <t>Julia Sampson Hayward</t>
  </si>
  <si>
    <t>Jenny Staley</t>
  </si>
  <si>
    <t>Beryl Penrose</t>
  </si>
  <si>
    <t>Mary Carter Reitano</t>
  </si>
  <si>
    <t>3–6, 6–2, 9–7</t>
  </si>
  <si>
    <t>Shirley Fry Irvin</t>
  </si>
  <si>
    <t>Althea Gibson</t>
  </si>
  <si>
    <t>Angela Mortimer</t>
  </si>
  <si>
    <t>Lorraine Coghlan</t>
  </si>
  <si>
    <t>Renée Schuurman</t>
  </si>
  <si>
    <t>Margaret Smith</t>
  </si>
  <si>
    <t>Jan Lehane</t>
  </si>
  <si>
    <t>6–0, 6–2</t>
  </si>
  <si>
    <t>6–2, 6–2</t>
  </si>
  <si>
    <t>Lesley Turner Bowrey</t>
  </si>
  <si>
    <t>Maria Bueno</t>
  </si>
  <si>
    <t>5–7, 6–4, 5–2, retired</t>
  </si>
  <si>
    <t>Nancy Richey</t>
  </si>
  <si>
    <t>walkover</t>
  </si>
  <si>
    <t>Billie Jean King</t>
  </si>
  <si>
    <t>Margaret Court</t>
  </si>
  <si>
    <t>6–4, 6–1</t>
  </si>
  <si>
    <t>Kerry Melville</t>
  </si>
  <si>
    <t>Evonne Goolagong</t>
  </si>
  <si>
    <t>Virginia Wade</t>
  </si>
  <si>
    <t>6–4, 7–5</t>
  </si>
  <si>
    <t>Chris Evert</t>
  </si>
  <si>
    <t>Renáta Tomanová</t>
  </si>
  <si>
    <t>Kerry Melville Reid</t>
  </si>
  <si>
    <t>Dianne Fromholtz</t>
  </si>
  <si>
    <t>Helen Gourlay</t>
  </si>
  <si>
    <t>6–3, 6–0</t>
  </si>
  <si>
    <t>Chris O'Neil</t>
  </si>
  <si>
    <t>Betsy Nagelsen</t>
  </si>
  <si>
    <t>Barbara Jordan</t>
  </si>
  <si>
    <t>Sharon Walsh</t>
  </si>
  <si>
    <t>6–3, 6–3</t>
  </si>
  <si>
    <t>Hana Mandlíková</t>
  </si>
  <si>
    <t>Wendy Turnbull</t>
  </si>
  <si>
    <t>6–0, 7–5</t>
  </si>
  <si>
    <t>Martina Navratilova</t>
  </si>
  <si>
    <t>6–3, 2–6, 6–3</t>
  </si>
  <si>
    <t>Kathy Jordan</t>
  </si>
  <si>
    <t>Helena Suková</t>
  </si>
  <si>
    <t>6–2, 4–6, 6–2</t>
  </si>
  <si>
    <t>Steffi Graf</t>
  </si>
  <si>
    <t>Mary Joe Fernández</t>
  </si>
  <si>
    <t>Monica Seles</t>
  </si>
  <si>
    <t>Jana Novotná</t>
  </si>
  <si>
    <t>5–7, 6–3, 6–1</t>
  </si>
  <si>
    <t>4–6, 6–3, 6–2</t>
  </si>
  <si>
    <t>Arantxa Sánchez Vicario</t>
  </si>
  <si>
    <t>Mary Pierce</t>
  </si>
  <si>
    <t>Anke Huber</t>
  </si>
  <si>
    <t>Martina Hingis</t>
  </si>
  <si>
    <t>Conchita Martínez</t>
  </si>
  <si>
    <t>Amélie Mauresmo</t>
  </si>
  <si>
    <t>Lindsay Davenport</t>
  </si>
  <si>
    <t>Jennifer Capriati</t>
  </si>
  <si>
    <t>Serena Williams</t>
  </si>
  <si>
    <t>Venus Williams</t>
  </si>
  <si>
    <t>Justine Henin</t>
  </si>
  <si>
    <t>Kim Clijsters</t>
  </si>
  <si>
    <t>6–3, 4–6, 6–3</t>
  </si>
  <si>
    <t>2–6, 6–3, 6–0</t>
  </si>
  <si>
    <t>6–1, 2–0 retired</t>
  </si>
  <si>
    <t>Maria Sharapova</t>
  </si>
  <si>
    <t>Ana Ivanovic</t>
  </si>
  <si>
    <t>7–5, 6–3</t>
  </si>
  <si>
    <t>Dinara Safina</t>
  </si>
  <si>
    <t>6–0, 6–3</t>
  </si>
  <si>
    <t>6–4, 3–6, 6–2</t>
  </si>
  <si>
    <t>Li Na</t>
  </si>
  <si>
    <t>3–6, 6–3, 6–3</t>
  </si>
  <si>
    <t>Victoria Azarenka</t>
  </si>
  <si>
    <t>4–6, 6–4, 6–3</t>
  </si>
  <si>
    <t>Dominika Cibulková</t>
  </si>
  <si>
    <t>Angelique Kerber</t>
  </si>
  <si>
    <t>Caroline Wozniacki</t>
  </si>
  <si>
    <t>Simona Halep</t>
  </si>
  <si>
    <t>Naomi Osaka</t>
  </si>
  <si>
    <t>Petra Kvitová</t>
  </si>
  <si>
    <t>Sofia Kenin</t>
  </si>
  <si>
    <t>Garbiñe Muguruza</t>
  </si>
  <si>
    <t>4–6, 6–2, 6–2</t>
  </si>
  <si>
    <t>Jennifer Brady</t>
  </si>
  <si>
    <t>Ashleigh Barty</t>
  </si>
  <si>
    <t>Danielle Collins</t>
  </si>
  <si>
    <t>Women's</t>
  </si>
  <si>
    <t>1977-(2)</t>
  </si>
  <si>
    <t>1977-(1)</t>
  </si>
  <si>
    <t>Yugoslavia</t>
  </si>
  <si>
    <t>United States</t>
  </si>
  <si>
    <t>Czechoslovakia</t>
  </si>
  <si>
    <t>Sweden</t>
  </si>
  <si>
    <t>Serbia</t>
  </si>
  <si>
    <t>Russia</t>
  </si>
  <si>
    <t>South Africa</t>
  </si>
  <si>
    <t>New Zealand</t>
  </si>
  <si>
    <t>Japan</t>
  </si>
  <si>
    <t>Germany</t>
  </si>
  <si>
    <t>United Kingdom</t>
  </si>
  <si>
    <t>GER</t>
  </si>
  <si>
    <t>France</t>
  </si>
  <si>
    <t>Spain</t>
  </si>
  <si>
    <t>Denmark</t>
  </si>
  <si>
    <t>Czechia</t>
  </si>
  <si>
    <t>China</t>
  </si>
  <si>
    <t>GBR</t>
  </si>
  <si>
    <t>Belarus</t>
  </si>
  <si>
    <t>Belgium</t>
  </si>
  <si>
    <t>Australia</t>
  </si>
  <si>
    <t>Argentina</t>
  </si>
  <si>
    <t>Switzerland</t>
  </si>
  <si>
    <t>ESP</t>
  </si>
  <si>
    <t>AUS</t>
  </si>
  <si>
    <t>SRB</t>
  </si>
  <si>
    <t>JPN</t>
  </si>
  <si>
    <t>USA</t>
  </si>
  <si>
    <t>DEN</t>
  </si>
  <si>
    <t>SUI</t>
  </si>
  <si>
    <t>CHN</t>
  </si>
  <si>
    <t>BLR</t>
  </si>
  <si>
    <t>BEL</t>
  </si>
  <si>
    <t>RUS</t>
  </si>
  <si>
    <t>FRA</t>
  </si>
  <si>
    <t>SWE</t>
  </si>
  <si>
    <t>CZE</t>
  </si>
  <si>
    <t>YUG</t>
  </si>
  <si>
    <t>TCH</t>
  </si>
  <si>
    <t>RSA</t>
  </si>
  <si>
    <t>ARG</t>
  </si>
  <si>
    <t>NZL</t>
  </si>
  <si>
    <t>AUT</t>
  </si>
  <si>
    <t>ROU</t>
  </si>
  <si>
    <t>CRO</t>
  </si>
  <si>
    <t>SVK</t>
  </si>
  <si>
    <t>CHI</t>
  </si>
  <si>
    <t>CYP</t>
  </si>
  <si>
    <t>BRA</t>
  </si>
  <si>
    <t>Slovakia</t>
  </si>
  <si>
    <t>Romania</t>
  </si>
  <si>
    <t>Croatia</t>
  </si>
  <si>
    <t>Cyprus</t>
  </si>
  <si>
    <t>Chile</t>
  </si>
  <si>
    <t>Brazil</t>
  </si>
  <si>
    <t>Austria</t>
  </si>
  <si>
    <t>Alex Olmedo</t>
  </si>
  <si>
    <t>1st-won</t>
  </si>
  <si>
    <t>1st-loss</t>
  </si>
  <si>
    <t>2nd-won</t>
  </si>
  <si>
    <t>2nd-loss</t>
  </si>
  <si>
    <t>3rd-won</t>
  </si>
  <si>
    <t>3rd-loss</t>
  </si>
  <si>
    <t>4th-won</t>
  </si>
  <si>
    <t>4th-loss</t>
  </si>
  <si>
    <t>5th-won</t>
  </si>
  <si>
    <t>5th-loss</t>
  </si>
  <si>
    <t>7–6(7–2), 6–3, 7–5</t>
  </si>
  <si>
    <t>7–6(9–7), 6–4, 4–6, 6–3</t>
  </si>
  <si>
    <t>7–5, 3–6, 6–4, 7–6(9–7)</t>
  </si>
  <si>
    <t>6–3, 7–6(7–1), 5–7, 3–6, 6–2</t>
  </si>
  <si>
    <t>7–6(7–4), 6–3, 6–2</t>
  </si>
  <si>
    <t>7–5, 7–6(7–4), 6–2</t>
  </si>
  <si>
    <t>6–2, 7–6(7–1), 6–7(1–7), 6–4</t>
  </si>
  <si>
    <t>6–7(5–7), 6–4, 7–6(7–3), 6–2</t>
  </si>
  <si>
    <t>6–3, 6–7(3–7), 3–6, 6–1, 8–6</t>
  </si>
  <si>
    <t>4–6, 7–6(7–3), 5–2 retired[k]</t>
  </si>
  <si>
    <t>7–6(7–4), 6–4, 6–4</t>
  </si>
  <si>
    <t>4–6, 6–1, 7–6(8–6), 6–4</t>
  </si>
  <si>
    <t>4–6, 6–0, 6–3, 7–6(7–1)</t>
  </si>
  <si>
    <t>3–6, 6–4, 6–4, 7–6(7–4)</t>
  </si>
  <si>
    <t>7–6(7–3), 6–4, 6–2</t>
  </si>
  <si>
    <t>7–6(7–2), 6–4, 6–4</t>
  </si>
  <si>
    <t>4–6, 6–4, 6–3, 7–6(7–2)</t>
  </si>
  <si>
    <t>7–5, 3–6, 7–6(7–3), 3–6, 6–2</t>
  </si>
  <si>
    <t>6–3, 6–4, 7–6(13–11)</t>
  </si>
  <si>
    <t>5–7, 6–4, 6–2, 6–7(5–7), 7–5</t>
  </si>
  <si>
    <t>6–7(2–7), 7–6(7–3), 6–3, 6–2</t>
  </si>
  <si>
    <t>7–6(7–5), 6–7(4–7), 6–3, 6–0</t>
  </si>
  <si>
    <t>6–1, 7–5, 7–6(7–3)</t>
  </si>
  <si>
    <t>6–2, 6–7(5–7), 6–3, 3–6, 6–1</t>
  </si>
  <si>
    <t>2–6, 6–7(5–7), 6–4, 6–4, 7–5</t>
  </si>
  <si>
    <t>2–6, 7–6(7–0), 7–5</t>
  </si>
  <si>
    <t>7–6(7–5), 4–6, 6–0</t>
  </si>
  <si>
    <t>6–3, 7–6(7–3)</t>
  </si>
  <si>
    <t>6–7(7–4), 6–4, 7–5</t>
  </si>
  <si>
    <t>6–2, 7–6(7–5)</t>
  </si>
  <si>
    <t>6–7(4–7), 6–1, 6–3</t>
  </si>
  <si>
    <t>7–5, 7–6(7–1)</t>
  </si>
  <si>
    <t>6–1, 7–6(7–3)</t>
  </si>
  <si>
    <t>4–6, 7–6(9–7), 6–2</t>
  </si>
  <si>
    <t>7–6(7–4), 3–6, 6–4</t>
  </si>
  <si>
    <t>7–6(7–3), 6–0</t>
  </si>
  <si>
    <t>6–3, 7–6(7–5)</t>
  </si>
  <si>
    <t>7–6(7–2), 3–6, 6–4</t>
  </si>
  <si>
    <t>7–6(7–2), 5–7, 6–4</t>
  </si>
  <si>
    <t>6–3, 7–6(7–2)</t>
  </si>
  <si>
    <t>6-3, 7-6(7-4), 7-6(7-5)</t>
  </si>
  <si>
    <t>Aryna Sabalenka</t>
  </si>
  <si>
    <t>Elena Rybakina</t>
  </si>
  <si>
    <t>KAZ</t>
  </si>
  <si>
    <t>Stefanos Tsitsipas</t>
  </si>
  <si>
    <t>GRE</t>
  </si>
  <si>
    <t>Greece</t>
  </si>
  <si>
    <t>Kazakhstan</t>
  </si>
  <si>
    <t>4-6, 6-3, 6-4</t>
  </si>
  <si>
    <t>Wins</t>
  </si>
  <si>
    <t>Loss</t>
  </si>
  <si>
    <t>Rate</t>
  </si>
  <si>
    <t>WinRate</t>
  </si>
  <si>
    <t>6-3, 6-2</t>
  </si>
  <si>
    <t>Qinwen Zheng</t>
  </si>
  <si>
    <t>JannikSinner</t>
  </si>
  <si>
    <t>ITA</t>
  </si>
  <si>
    <t>Italy</t>
  </si>
  <si>
    <t>3-6.3-6.6-4.6-4.6-3</t>
  </si>
  <si>
    <t>DaniilMedvedev</t>
  </si>
  <si>
    <t>Games Won</t>
  </si>
  <si>
    <t>Games Lost</t>
  </si>
  <si>
    <t>win ratio</t>
  </si>
  <si>
    <t>1st win ratio</t>
  </si>
  <si>
    <t>2nd win ratio</t>
  </si>
  <si>
    <t>3rd win ratio</t>
  </si>
  <si>
    <t>4th win ratio</t>
  </si>
  <si>
    <t>5th win ratio</t>
  </si>
  <si>
    <t xml:space="preserve">Champion Country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</si>
</sst>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02124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9" tint="0.79998168889431442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3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0" fontId="0" fillId="0" borderId="1" xfId="0" applyBorder="1"/>
    <xf numFmtId="0" fontId="0" fillId="0" borderId="2" xfId="0" applyBorder="1"/>
    <xf numFmtId="0" fontId="0" fillId="2" borderId="1" xfId="0" applyFill="1" applyBorder="1"/>
    <xf numFmtId="0" fontId="0" fillId="2" borderId="2" xfId="0" applyFill="1" applyBorder="1"/>
    <xf numFmtId="49" fontId="0" fillId="0" borderId="1" xfId="0" applyNumberFormat="1" applyBorder="1"/>
    <xf numFmtId="49" fontId="0" fillId="2" borderId="1" xfId="0" applyNumberFormat="1" applyFill="1" applyBorder="1"/>
    <xf numFmtId="0" fontId="0" fillId="3" borderId="2" xfId="0" applyFill="1" applyBorder="1"/>
    <xf numFmtId="0" fontId="0" fillId="4" borderId="2" xfId="0" applyFill="1" applyBorder="1"/>
    <xf numFmtId="0" fontId="2" fillId="3" borderId="2" xfId="0" applyFont="1" applyFill="1" applyBorder="1"/>
    <xf numFmtId="0" fontId="0" fillId="2" borderId="1" xfId="0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0" fillId="2" borderId="3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0" fillId="2" borderId="2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right"/>
    </xf>
    <xf numFmtId="10" fontId="0" fillId="2" borderId="2" xfId="0" applyNumberFormat="1" applyFill="1" applyBorder="1"/>
    <xf numFmtId="10" fontId="0" fillId="0" borderId="2" xfId="0" applyNumberFormat="1" applyBorder="1"/>
    <xf numFmtId="0" fontId="0" fillId="0" borderId="2" xfId="0" applyBorder="1" applyAlignment="1">
      <alignment horizontal="left"/>
    </xf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10" fontId="0" fillId="0" borderId="0" xfId="1" applyNumberFormat="1" applyFont="1"/>
    <xf numFmtId="0" fontId="0" fillId="0" borderId="0" xfId="0" applyBorder="1"/>
    <xf numFmtId="0" fontId="0" fillId="0" borderId="0" xfId="0" applyBorder="1" applyAlignment="1">
      <alignment horizontal="right"/>
    </xf>
    <xf numFmtId="0" fontId="0" fillId="2" borderId="3" xfId="0" applyFill="1" applyBorder="1"/>
    <xf numFmtId="0" fontId="0" fillId="2" borderId="2" xfId="0" applyNumberFormat="1" applyFill="1" applyBorder="1"/>
  </cellXfs>
  <cellStyles count="2">
    <cellStyle name="Normal" xfId="0" builtinId="0"/>
    <cellStyle name="Percent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C211"/>
  <sheetViews>
    <sheetView tabSelected="1" workbookViewId="0">
      <pane xSplit="1" ySplit="1" topLeftCell="S3" activePane="bottomRight" state="frozen"/>
      <selection pane="topRight" activeCell="B1" sqref="B1"/>
      <selection pane="bottomLeft" activeCell="A2" sqref="A2"/>
      <selection pane="bottomRight" activeCell="AD3" sqref="AD3"/>
    </sheetView>
  </sheetViews>
  <sheetFormatPr defaultRowHeight="14.4" x14ac:dyDescent="0.3"/>
  <cols>
    <col min="1" max="1" width="9.109375" style="30" bestFit="1" customWidth="1"/>
    <col min="2" max="2" width="9.33203125" bestFit="1" customWidth="1"/>
    <col min="3" max="3" width="19.44140625" bestFit="1" customWidth="1"/>
    <col min="4" max="4" width="21.77734375" bestFit="1" customWidth="1"/>
    <col min="5" max="5" width="22" bestFit="1" customWidth="1"/>
    <col min="6" max="6" width="24.33203125" bestFit="1" customWidth="1"/>
    <col min="7" max="7" width="12.21875" bestFit="1" customWidth="1"/>
    <col min="8" max="8" width="11.6640625" bestFit="1" customWidth="1"/>
    <col min="9" max="9" width="13" bestFit="1" customWidth="1"/>
    <col min="10" max="10" width="12.44140625" bestFit="1" customWidth="1"/>
    <col min="11" max="11" width="12.5546875" bestFit="1" customWidth="1"/>
    <col min="12" max="12" width="12" bestFit="1" customWidth="1"/>
    <col min="13" max="13" width="12.5546875" bestFit="1" customWidth="1"/>
    <col min="14" max="14" width="12" bestFit="1" customWidth="1"/>
    <col min="15" max="15" width="12.5546875" bestFit="1" customWidth="1"/>
    <col min="16" max="16" width="12" bestFit="1" customWidth="1"/>
    <col min="17" max="17" width="20.6640625" bestFit="1" customWidth="1"/>
    <col min="18" max="18" width="22.109375" bestFit="1" customWidth="1"/>
    <col min="19" max="19" width="19.6640625" bestFit="1" customWidth="1"/>
    <col min="20" max="20" width="15.5546875" bestFit="1" customWidth="1"/>
    <col min="21" max="21" width="15" bestFit="1" customWidth="1"/>
    <col min="22" max="22" width="12.77734375" bestFit="1" customWidth="1"/>
    <col min="23" max="23" width="15.6640625" bestFit="1" customWidth="1"/>
    <col min="24" max="24" width="16.44140625" bestFit="1" customWidth="1"/>
    <col min="25" max="27" width="16" bestFit="1" customWidth="1"/>
    <col min="29" max="29" width="3" bestFit="1" customWidth="1"/>
    <col min="31" max="31" width="6.88671875" customWidth="1"/>
  </cols>
  <sheetData>
    <row r="1" spans="1:29" s="1" customFormat="1" x14ac:dyDescent="0.3">
      <c r="A1" s="29" t="s">
        <v>0</v>
      </c>
      <c r="B1" s="2" t="s">
        <v>1</v>
      </c>
      <c r="C1" s="2" t="s">
        <v>2</v>
      </c>
      <c r="D1" s="2" t="s">
        <v>3</v>
      </c>
      <c r="E1" s="19" t="s">
        <v>582</v>
      </c>
      <c r="F1" s="1" t="s">
        <v>7</v>
      </c>
      <c r="G1" s="19" t="s">
        <v>504</v>
      </c>
      <c r="H1" s="19" t="s">
        <v>505</v>
      </c>
      <c r="I1" s="19" t="s">
        <v>506</v>
      </c>
      <c r="J1" s="19" t="s">
        <v>507</v>
      </c>
      <c r="K1" s="19" t="s">
        <v>508</v>
      </c>
      <c r="L1" s="19" t="s">
        <v>509</v>
      </c>
      <c r="M1" s="19" t="s">
        <v>510</v>
      </c>
      <c r="N1" s="19" t="s">
        <v>511</v>
      </c>
      <c r="O1" s="19" t="s">
        <v>512</v>
      </c>
      <c r="P1" s="19" t="s">
        <v>513</v>
      </c>
      <c r="Q1" s="2" t="s">
        <v>8</v>
      </c>
      <c r="R1" s="2" t="s">
        <v>9</v>
      </c>
      <c r="S1" s="20" t="s">
        <v>10</v>
      </c>
      <c r="T1" s="1" t="s">
        <v>574</v>
      </c>
      <c r="U1" s="1" t="s">
        <v>575</v>
      </c>
      <c r="V1" s="1" t="s">
        <v>576</v>
      </c>
      <c r="W1" s="1" t="s">
        <v>577</v>
      </c>
      <c r="X1" s="1" t="s">
        <v>578</v>
      </c>
      <c r="Y1" s="1" t="s">
        <v>579</v>
      </c>
      <c r="Z1" s="1" t="s">
        <v>580</v>
      </c>
      <c r="AA1" s="1" t="s">
        <v>581</v>
      </c>
    </row>
    <row r="2" spans="1:29" hidden="1" x14ac:dyDescent="0.3">
      <c r="A2" s="9">
        <v>2024</v>
      </c>
      <c r="B2" s="5" t="s">
        <v>444</v>
      </c>
      <c r="C2" s="7" t="s">
        <v>555</v>
      </c>
      <c r="D2" s="7" t="s">
        <v>478</v>
      </c>
      <c r="E2" s="7" t="s">
        <v>465</v>
      </c>
      <c r="F2" s="21" t="s">
        <v>567</v>
      </c>
      <c r="G2" s="13">
        <v>6</v>
      </c>
      <c r="H2" s="14">
        <v>3</v>
      </c>
      <c r="I2" s="14">
        <v>6</v>
      </c>
      <c r="J2" s="14">
        <v>2</v>
      </c>
      <c r="K2" s="14"/>
      <c r="L2" s="14"/>
      <c r="M2" s="14"/>
      <c r="N2" s="15"/>
      <c r="O2" s="7"/>
      <c r="P2" s="7"/>
      <c r="Q2" s="7" t="s">
        <v>568</v>
      </c>
      <c r="R2" s="7" t="s">
        <v>477</v>
      </c>
      <c r="S2" s="7" t="s">
        <v>463</v>
      </c>
      <c r="T2">
        <f>G2+I2+K2+M2+O2</f>
        <v>12</v>
      </c>
      <c r="U2">
        <f>H2+J2+L2+N2+P2</f>
        <v>5</v>
      </c>
      <c r="V2" s="31">
        <f>T2/(T2+U2)</f>
        <v>0.70588235294117652</v>
      </c>
      <c r="W2" s="31">
        <f>G2/(G2+H2)</f>
        <v>0.66666666666666663</v>
      </c>
      <c r="X2" s="31">
        <f>I2/(I2+J2)</f>
        <v>0.75</v>
      </c>
      <c r="Y2" s="31" t="e">
        <f>K2/(K2+L2)</f>
        <v>#DIV/0!</v>
      </c>
      <c r="Z2" s="31" t="e">
        <f>M2/(M2+N2)</f>
        <v>#DIV/0!</v>
      </c>
      <c r="AA2" s="31" t="e">
        <f>O2/(O2+P2)</f>
        <v>#DIV/0!</v>
      </c>
      <c r="AC2">
        <f>T2-U2</f>
        <v>7</v>
      </c>
    </row>
    <row r="3" spans="1:29" x14ac:dyDescent="0.3">
      <c r="A3" s="9" t="s">
        <v>208</v>
      </c>
      <c r="B3" s="5" t="s">
        <v>309</v>
      </c>
      <c r="C3" s="7" t="s">
        <v>201</v>
      </c>
      <c r="D3" s="7" t="s">
        <v>487</v>
      </c>
      <c r="E3" s="35" t="s">
        <v>468</v>
      </c>
      <c r="F3" s="7" t="s">
        <v>518</v>
      </c>
      <c r="G3" s="14">
        <v>7</v>
      </c>
      <c r="H3" s="14">
        <v>6</v>
      </c>
      <c r="I3" s="14">
        <v>6</v>
      </c>
      <c r="J3" s="14">
        <v>3</v>
      </c>
      <c r="K3" s="14">
        <v>6</v>
      </c>
      <c r="L3" s="14">
        <v>2</v>
      </c>
      <c r="M3" s="14"/>
      <c r="N3" s="15"/>
      <c r="O3" s="14"/>
      <c r="P3" s="14"/>
      <c r="Q3" s="7" t="s">
        <v>209</v>
      </c>
      <c r="R3" s="7" t="s">
        <v>474</v>
      </c>
      <c r="S3" s="7" t="s">
        <v>448</v>
      </c>
      <c r="T3">
        <f>G3+I3+K3+M3+O3</f>
        <v>19</v>
      </c>
      <c r="U3">
        <f>H3+J3+L3+N3+P3</f>
        <v>11</v>
      </c>
      <c r="V3" s="31">
        <f>T3/(T3+U3)</f>
        <v>0.6333333333333333</v>
      </c>
      <c r="W3" s="31">
        <f>G3/(G3+H3)</f>
        <v>0.53846153846153844</v>
      </c>
      <c r="X3" s="31">
        <f>I3/(I3+J3)</f>
        <v>0.66666666666666663</v>
      </c>
      <c r="Y3" s="31">
        <f>K3/(K3+L3)</f>
        <v>0.75</v>
      </c>
      <c r="Z3" s="31" t="e">
        <f>M3/(M3+N3)</f>
        <v>#DIV/0!</v>
      </c>
      <c r="AA3" s="31" t="e">
        <f>O3/(O3+P3)</f>
        <v>#DIV/0!</v>
      </c>
    </row>
    <row r="4" spans="1:29" s="24" customFormat="1" hidden="1" x14ac:dyDescent="0.3">
      <c r="A4" s="8">
        <v>2023</v>
      </c>
      <c r="B4" s="5" t="s">
        <v>444</v>
      </c>
      <c r="C4" s="22" t="s">
        <v>555</v>
      </c>
      <c r="D4" s="22" t="s">
        <v>478</v>
      </c>
      <c r="E4" s="22" t="s">
        <v>465</v>
      </c>
      <c r="F4" s="22" t="s">
        <v>562</v>
      </c>
      <c r="G4" s="23">
        <v>4</v>
      </c>
      <c r="H4" s="23">
        <v>6</v>
      </c>
      <c r="I4" s="23">
        <v>6</v>
      </c>
      <c r="J4" s="23">
        <v>3</v>
      </c>
      <c r="K4" s="23">
        <v>6</v>
      </c>
      <c r="L4" s="23">
        <v>4</v>
      </c>
      <c r="M4" s="23"/>
      <c r="N4" s="23"/>
      <c r="O4" s="23"/>
      <c r="P4" s="23"/>
      <c r="Q4" s="22" t="s">
        <v>556</v>
      </c>
      <c r="R4" s="22" t="s">
        <v>557</v>
      </c>
      <c r="S4" s="22" t="s">
        <v>561</v>
      </c>
      <c r="T4">
        <f>G4+I4+K4+M4+O4</f>
        <v>16</v>
      </c>
      <c r="U4">
        <f>H4+J4+L4+N4+P4</f>
        <v>13</v>
      </c>
      <c r="V4" s="31">
        <f>T4/(T4+U4)</f>
        <v>0.55172413793103448</v>
      </c>
      <c r="W4" s="31">
        <f>G4/(G4+H4)</f>
        <v>0.4</v>
      </c>
      <c r="X4" s="31">
        <f>I4/(I4+J4)</f>
        <v>0.66666666666666663</v>
      </c>
      <c r="Y4" s="31">
        <f>K4/(K4+L4)</f>
        <v>0.6</v>
      </c>
      <c r="Z4" s="31" t="e">
        <f>M4/(M4+N4)</f>
        <v>#DIV/0!</v>
      </c>
      <c r="AA4" s="31" t="e">
        <f>O4/(O4+P4)</f>
        <v>#DIV/0!</v>
      </c>
      <c r="AC4">
        <f t="shared" ref="AC3:AC66" si="0">T4-U4</f>
        <v>3</v>
      </c>
    </row>
    <row r="5" spans="1:29" s="24" customFormat="1" x14ac:dyDescent="0.3">
      <c r="A5" s="8" t="s">
        <v>205</v>
      </c>
      <c r="B5" s="5" t="s">
        <v>309</v>
      </c>
      <c r="C5" s="5" t="s">
        <v>201</v>
      </c>
      <c r="D5" s="5" t="s">
        <v>487</v>
      </c>
      <c r="E5" s="5" t="s">
        <v>468</v>
      </c>
      <c r="F5" s="32" t="s">
        <v>207</v>
      </c>
      <c r="G5" s="33">
        <v>6</v>
      </c>
      <c r="H5" s="33">
        <v>4</v>
      </c>
      <c r="I5" s="33">
        <v>6</v>
      </c>
      <c r="J5" s="33">
        <v>4</v>
      </c>
      <c r="K5" s="33">
        <v>3</v>
      </c>
      <c r="L5" s="33">
        <v>6</v>
      </c>
      <c r="M5" s="33">
        <v>6</v>
      </c>
      <c r="N5" s="33">
        <v>3</v>
      </c>
      <c r="O5" s="33"/>
      <c r="P5" s="33"/>
      <c r="Q5" s="32" t="s">
        <v>206</v>
      </c>
      <c r="R5" s="32" t="s">
        <v>471</v>
      </c>
      <c r="S5" s="32" t="s">
        <v>467</v>
      </c>
      <c r="T5">
        <f>G5+I5+K5+M5+O5</f>
        <v>21</v>
      </c>
      <c r="U5">
        <f>H5+J5+L5+N5+P5</f>
        <v>17</v>
      </c>
      <c r="V5" s="31">
        <f>T5/(T5+U5)</f>
        <v>0.55263157894736847</v>
      </c>
      <c r="W5" s="31">
        <f>G5/(G5+H5)</f>
        <v>0.6</v>
      </c>
      <c r="X5" s="31">
        <f>I5/(I5+J5)</f>
        <v>0.6</v>
      </c>
      <c r="Y5" s="31">
        <f>K5/(K5+L5)</f>
        <v>0.33333333333333331</v>
      </c>
      <c r="Z5" s="31">
        <f>M5/(M5+N5)</f>
        <v>0.66666666666666663</v>
      </c>
      <c r="AA5" s="31" t="e">
        <f>O5/(O5+P5)</f>
        <v>#DIV/0!</v>
      </c>
      <c r="AC5"/>
    </row>
    <row r="6" spans="1:29" hidden="1" x14ac:dyDescent="0.3">
      <c r="A6" s="9" t="s">
        <v>308</v>
      </c>
      <c r="B6" s="5" t="s">
        <v>444</v>
      </c>
      <c r="C6" s="7" t="s">
        <v>442</v>
      </c>
      <c r="D6" s="7" t="s">
        <v>471</v>
      </c>
      <c r="E6" s="7" t="s">
        <v>467</v>
      </c>
      <c r="F6" s="21" t="s">
        <v>553</v>
      </c>
      <c r="G6" s="13">
        <v>6</v>
      </c>
      <c r="H6" s="14">
        <v>3</v>
      </c>
      <c r="I6" s="14">
        <v>7</v>
      </c>
      <c r="J6" s="14">
        <v>6</v>
      </c>
      <c r="K6" s="14"/>
      <c r="L6" s="14"/>
      <c r="M6" s="14"/>
      <c r="N6" s="14"/>
      <c r="O6" s="14"/>
      <c r="P6" s="15"/>
      <c r="Q6" s="7" t="s">
        <v>443</v>
      </c>
      <c r="R6" s="7" t="s">
        <v>474</v>
      </c>
      <c r="S6" s="7" t="s">
        <v>448</v>
      </c>
      <c r="T6">
        <f>G6+I6+K6+M6+O6</f>
        <v>13</v>
      </c>
      <c r="U6">
        <f>H6+J6+L6+N6+P6</f>
        <v>9</v>
      </c>
      <c r="V6" s="31">
        <f>T6/(T6+U6)</f>
        <v>0.59090909090909094</v>
      </c>
      <c r="W6" s="31">
        <f>G6/(G6+H6)</f>
        <v>0.66666666666666663</v>
      </c>
      <c r="X6" s="31">
        <f>I6/(I6+J6)</f>
        <v>0.53846153846153844</v>
      </c>
      <c r="Y6" s="31" t="e">
        <f>K6/(K6+L6)</f>
        <v>#DIV/0!</v>
      </c>
      <c r="Z6" s="31" t="e">
        <f>M6/(M6+N6)</f>
        <v>#DIV/0!</v>
      </c>
      <c r="AA6" s="31" t="e">
        <f>O6/(O6+P6)</f>
        <v>#DIV/0!</v>
      </c>
      <c r="AC6">
        <f t="shared" si="0"/>
        <v>4</v>
      </c>
    </row>
    <row r="7" spans="1:29" x14ac:dyDescent="0.3">
      <c r="A7" s="9" t="s">
        <v>197</v>
      </c>
      <c r="B7" s="5" t="s">
        <v>309</v>
      </c>
      <c r="C7" s="7" t="s">
        <v>198</v>
      </c>
      <c r="D7" s="7" t="s">
        <v>471</v>
      </c>
      <c r="E7" s="7" t="s">
        <v>467</v>
      </c>
      <c r="F7" s="7" t="s">
        <v>199</v>
      </c>
      <c r="G7" s="13">
        <v>6</v>
      </c>
      <c r="H7" s="14">
        <v>7</v>
      </c>
      <c r="I7" s="14">
        <v>6</v>
      </c>
      <c r="J7" s="14">
        <v>3</v>
      </c>
      <c r="K7" s="14">
        <v>7</v>
      </c>
      <c r="L7" s="14">
        <v>6</v>
      </c>
      <c r="M7" s="14">
        <v>6</v>
      </c>
      <c r="N7" s="14">
        <v>1</v>
      </c>
      <c r="O7" s="14"/>
      <c r="P7" s="15"/>
      <c r="Q7" s="7" t="s">
        <v>190</v>
      </c>
      <c r="R7" s="7" t="s">
        <v>471</v>
      </c>
      <c r="S7" s="7" t="s">
        <v>467</v>
      </c>
      <c r="T7">
        <f>G7+I7+K7+M7+O7</f>
        <v>25</v>
      </c>
      <c r="U7">
        <f>H7+J7+L7+N7+P7</f>
        <v>17</v>
      </c>
      <c r="V7" s="31">
        <f>T7/(T7+U7)</f>
        <v>0.59523809523809523</v>
      </c>
      <c r="W7" s="31">
        <f>G7/(G7+H7)</f>
        <v>0.46153846153846156</v>
      </c>
      <c r="X7" s="31">
        <f>I7/(I7+J7)</f>
        <v>0.66666666666666663</v>
      </c>
      <c r="Y7" s="31">
        <f>K7/(K7+L7)</f>
        <v>0.53846153846153844</v>
      </c>
      <c r="Z7" s="31">
        <f>M7/(M7+N7)</f>
        <v>0.8571428571428571</v>
      </c>
      <c r="AA7" s="31" t="e">
        <f>O7/(O7+P7)</f>
        <v>#DIV/0!</v>
      </c>
    </row>
    <row r="8" spans="1:29" hidden="1" x14ac:dyDescent="0.3">
      <c r="A8" s="8" t="s">
        <v>305</v>
      </c>
      <c r="B8" s="5" t="s">
        <v>444</v>
      </c>
      <c r="C8" s="5" t="s">
        <v>436</v>
      </c>
      <c r="D8" s="5" t="s">
        <v>473</v>
      </c>
      <c r="E8" s="5" t="s">
        <v>455</v>
      </c>
      <c r="F8" s="5" t="s">
        <v>330</v>
      </c>
      <c r="G8" s="16">
        <v>6</v>
      </c>
      <c r="H8" s="17">
        <v>4</v>
      </c>
      <c r="I8" s="17">
        <v>6</v>
      </c>
      <c r="J8" s="17">
        <v>3</v>
      </c>
      <c r="K8" s="17"/>
      <c r="L8" s="17"/>
      <c r="M8" s="17"/>
      <c r="N8" s="17"/>
      <c r="O8" s="17"/>
      <c r="P8" s="18"/>
      <c r="Q8" s="5" t="s">
        <v>441</v>
      </c>
      <c r="R8" s="5" t="s">
        <v>474</v>
      </c>
      <c r="S8" s="5" t="s">
        <v>448</v>
      </c>
      <c r="T8">
        <f>G8+I8+K8+M8+O8</f>
        <v>12</v>
      </c>
      <c r="U8">
        <f>H8+J8+L8+N8+P8</f>
        <v>7</v>
      </c>
      <c r="V8" s="31">
        <f>T8/(T8+U8)</f>
        <v>0.63157894736842102</v>
      </c>
      <c r="W8" s="31">
        <f>G8/(G8+H8)</f>
        <v>0.6</v>
      </c>
      <c r="X8" s="31">
        <f>I8/(I8+J8)</f>
        <v>0.66666666666666663</v>
      </c>
      <c r="Y8" s="31" t="e">
        <f>K8/(K8+L8)</f>
        <v>#DIV/0!</v>
      </c>
      <c r="Z8" s="31" t="e">
        <f>M8/(M8+N8)</f>
        <v>#DIV/0!</v>
      </c>
      <c r="AA8" s="31" t="e">
        <f>O8/(O8+P8)</f>
        <v>#DIV/0!</v>
      </c>
      <c r="AC8">
        <f t="shared" si="0"/>
        <v>5</v>
      </c>
    </row>
    <row r="9" spans="1:29" x14ac:dyDescent="0.3">
      <c r="A9" s="8" t="s">
        <v>196</v>
      </c>
      <c r="B9" s="5" t="s">
        <v>309</v>
      </c>
      <c r="C9" s="5" t="s">
        <v>190</v>
      </c>
      <c r="D9" s="5" t="s">
        <v>471</v>
      </c>
      <c r="E9" s="5" t="s">
        <v>467</v>
      </c>
      <c r="F9" s="5" t="s">
        <v>516</v>
      </c>
      <c r="G9" s="16">
        <v>7</v>
      </c>
      <c r="H9" s="17">
        <v>5</v>
      </c>
      <c r="I9" s="17">
        <v>3</v>
      </c>
      <c r="J9" s="17">
        <v>6</v>
      </c>
      <c r="K9" s="17">
        <v>6</v>
      </c>
      <c r="L9" s="17">
        <v>4</v>
      </c>
      <c r="M9" s="17">
        <v>7</v>
      </c>
      <c r="N9" s="17">
        <v>6</v>
      </c>
      <c r="O9" s="17"/>
      <c r="P9" s="18"/>
      <c r="Q9" s="5" t="s">
        <v>194</v>
      </c>
      <c r="R9" s="5" t="s">
        <v>474</v>
      </c>
      <c r="S9" s="5" t="s">
        <v>448</v>
      </c>
      <c r="T9">
        <f>G9+I9+K9+M9+O9</f>
        <v>23</v>
      </c>
      <c r="U9">
        <f>H9+J9+L9+N9+P9</f>
        <v>21</v>
      </c>
      <c r="V9" s="31">
        <f>T9/(T9+U9)</f>
        <v>0.52272727272727271</v>
      </c>
      <c r="W9" s="31">
        <f>G9/(G9+H9)</f>
        <v>0.58333333333333337</v>
      </c>
      <c r="X9" s="31">
        <f>I9/(I9+J9)</f>
        <v>0.33333333333333331</v>
      </c>
      <c r="Y9" s="31">
        <f>K9/(K9+L9)</f>
        <v>0.6</v>
      </c>
      <c r="Z9" s="31">
        <f>M9/(M9+N9)</f>
        <v>0.53846153846153844</v>
      </c>
      <c r="AA9" s="31" t="e">
        <f>O9/(O9+P9)</f>
        <v>#DIV/0!</v>
      </c>
    </row>
    <row r="10" spans="1:29" hidden="1" x14ac:dyDescent="0.3">
      <c r="A10" s="9" t="s">
        <v>302</v>
      </c>
      <c r="B10" s="5" t="s">
        <v>444</v>
      </c>
      <c r="C10" s="7" t="s">
        <v>438</v>
      </c>
      <c r="D10" s="7" t="s">
        <v>474</v>
      </c>
      <c r="E10" s="7" t="s">
        <v>448</v>
      </c>
      <c r="F10" s="7" t="s">
        <v>440</v>
      </c>
      <c r="G10" s="13">
        <v>4</v>
      </c>
      <c r="H10" s="14">
        <v>6</v>
      </c>
      <c r="I10" s="14">
        <v>6</v>
      </c>
      <c r="J10" s="14">
        <v>2</v>
      </c>
      <c r="K10" s="14">
        <v>6</v>
      </c>
      <c r="L10" s="14">
        <v>2</v>
      </c>
      <c r="M10" s="14"/>
      <c r="N10" s="14"/>
      <c r="O10" s="14"/>
      <c r="P10" s="15"/>
      <c r="Q10" s="7" t="s">
        <v>439</v>
      </c>
      <c r="R10" s="7" t="s">
        <v>470</v>
      </c>
      <c r="S10" s="7" t="s">
        <v>460</v>
      </c>
      <c r="T10">
        <f>G10+I10+K10+M10+O10</f>
        <v>16</v>
      </c>
      <c r="U10">
        <f>H10+J10+L10+N10+P10</f>
        <v>10</v>
      </c>
      <c r="V10" s="31">
        <f>T10/(T10+U10)</f>
        <v>0.61538461538461542</v>
      </c>
      <c r="W10" s="31">
        <f>G10/(G10+H10)</f>
        <v>0.4</v>
      </c>
      <c r="X10" s="31">
        <f>I10/(I10+J10)</f>
        <v>0.75</v>
      </c>
      <c r="Y10" s="31">
        <f>K10/(K10+L10)</f>
        <v>0.75</v>
      </c>
      <c r="Z10" s="31" t="e">
        <f>M10/(M10+N10)</f>
        <v>#DIV/0!</v>
      </c>
      <c r="AA10" s="31" t="e">
        <f>O10/(O10+P10)</f>
        <v>#DIV/0!</v>
      </c>
      <c r="AC10">
        <f t="shared" si="0"/>
        <v>6</v>
      </c>
    </row>
    <row r="11" spans="1:29" x14ac:dyDescent="0.3">
      <c r="A11" s="8" t="s">
        <v>189</v>
      </c>
      <c r="B11" s="5" t="s">
        <v>309</v>
      </c>
      <c r="C11" s="5" t="s">
        <v>190</v>
      </c>
      <c r="D11" s="5" t="s">
        <v>471</v>
      </c>
      <c r="E11" s="5" t="s">
        <v>467</v>
      </c>
      <c r="F11" s="5" t="s">
        <v>192</v>
      </c>
      <c r="G11" s="16">
        <v>6</v>
      </c>
      <c r="H11" s="17">
        <v>3</v>
      </c>
      <c r="I11" s="17">
        <v>6</v>
      </c>
      <c r="J11" s="17">
        <v>7</v>
      </c>
      <c r="K11" s="17">
        <v>7</v>
      </c>
      <c r="L11" s="17">
        <v>5</v>
      </c>
      <c r="M11" s="17">
        <v>6</v>
      </c>
      <c r="N11" s="17">
        <v>1</v>
      </c>
      <c r="O11" s="17"/>
      <c r="P11" s="18"/>
      <c r="Q11" s="5" t="s">
        <v>191</v>
      </c>
      <c r="R11" s="5" t="s">
        <v>488</v>
      </c>
      <c r="S11" s="5" t="s">
        <v>454</v>
      </c>
      <c r="T11">
        <f>G11+I11+K11+M11+O11</f>
        <v>25</v>
      </c>
      <c r="U11">
        <f>H11+J11+L11+N11+P11</f>
        <v>16</v>
      </c>
      <c r="V11" s="31">
        <f>T11/(T11+U11)</f>
        <v>0.6097560975609756</v>
      </c>
      <c r="W11" s="31">
        <f>G11/(G11+H11)</f>
        <v>0.66666666666666663</v>
      </c>
      <c r="X11" s="31">
        <f>I11/(I11+J11)</f>
        <v>0.46153846153846156</v>
      </c>
      <c r="Y11" s="31">
        <f>K11/(K11+L11)</f>
        <v>0.58333333333333337</v>
      </c>
      <c r="Z11" s="31">
        <f>M11/(M11+N11)</f>
        <v>0.8571428571428571</v>
      </c>
      <c r="AA11" s="31" t="e">
        <f>O11/(O11+P11)</f>
        <v>#DIV/0!</v>
      </c>
    </row>
    <row r="12" spans="1:29" hidden="1" x14ac:dyDescent="0.3">
      <c r="A12" s="8" t="s">
        <v>300</v>
      </c>
      <c r="B12" s="5" t="s">
        <v>444</v>
      </c>
      <c r="C12" s="5" t="s">
        <v>436</v>
      </c>
      <c r="D12" s="5" t="s">
        <v>473</v>
      </c>
      <c r="E12" s="5" t="s">
        <v>455</v>
      </c>
      <c r="F12" s="5" t="s">
        <v>552</v>
      </c>
      <c r="G12" s="16">
        <v>7</v>
      </c>
      <c r="H12" s="17">
        <v>6</v>
      </c>
      <c r="I12" s="17">
        <v>5</v>
      </c>
      <c r="J12" s="17">
        <v>7</v>
      </c>
      <c r="K12" s="17">
        <v>6</v>
      </c>
      <c r="L12" s="17">
        <v>4</v>
      </c>
      <c r="M12" s="17"/>
      <c r="N12" s="17"/>
      <c r="O12" s="17"/>
      <c r="P12" s="18"/>
      <c r="Q12" s="5" t="s">
        <v>437</v>
      </c>
      <c r="R12" s="5" t="s">
        <v>483</v>
      </c>
      <c r="S12" s="5" t="s">
        <v>462</v>
      </c>
      <c r="T12">
        <f>G12+I12+K12+M12+O12</f>
        <v>18</v>
      </c>
      <c r="U12">
        <f>H12+J12+L12+N12+P12</f>
        <v>17</v>
      </c>
      <c r="V12" s="31">
        <f>T12/(T12+U12)</f>
        <v>0.51428571428571423</v>
      </c>
      <c r="W12" s="31">
        <f>G12/(G12+H12)</f>
        <v>0.53846153846153844</v>
      </c>
      <c r="X12" s="31">
        <f>I12/(I12+J12)</f>
        <v>0.41666666666666669</v>
      </c>
      <c r="Y12" s="31">
        <f>K12/(K12+L12)</f>
        <v>0.6</v>
      </c>
      <c r="Z12" s="31" t="e">
        <f>M12/(M12+N12)</f>
        <v>#DIV/0!</v>
      </c>
      <c r="AA12" s="31" t="e">
        <f>O12/(O12+P12)</f>
        <v>#DIV/0!</v>
      </c>
      <c r="AC12">
        <f t="shared" si="0"/>
        <v>1</v>
      </c>
    </row>
    <row r="13" spans="1:29" x14ac:dyDescent="0.3">
      <c r="A13" s="9" t="s">
        <v>188</v>
      </c>
      <c r="B13" s="5" t="s">
        <v>309</v>
      </c>
      <c r="C13" s="7" t="s">
        <v>135</v>
      </c>
      <c r="D13" s="7" t="s">
        <v>471</v>
      </c>
      <c r="E13" s="7" t="s">
        <v>467</v>
      </c>
      <c r="F13" s="7" t="s">
        <v>514</v>
      </c>
      <c r="G13" s="13">
        <v>7</v>
      </c>
      <c r="H13" s="14">
        <v>6</v>
      </c>
      <c r="I13" s="14">
        <v>6</v>
      </c>
      <c r="J13" s="14">
        <v>3</v>
      </c>
      <c r="K13" s="14">
        <v>7</v>
      </c>
      <c r="L13" s="14">
        <v>5</v>
      </c>
      <c r="M13" s="14"/>
      <c r="N13" s="14"/>
      <c r="O13" s="14"/>
      <c r="P13" s="15"/>
      <c r="Q13" s="7" t="s">
        <v>151</v>
      </c>
      <c r="R13" s="7" t="s">
        <v>471</v>
      </c>
      <c r="S13" s="7" t="s">
        <v>467</v>
      </c>
      <c r="T13">
        <f>G13+I13+K13+M13+O13</f>
        <v>20</v>
      </c>
      <c r="U13">
        <f>H13+J13+L13+N13+P13</f>
        <v>14</v>
      </c>
      <c r="V13" s="31">
        <f>T13/(T13+U13)</f>
        <v>0.58823529411764708</v>
      </c>
      <c r="W13" s="31">
        <f>G13/(G13+H13)</f>
        <v>0.53846153846153844</v>
      </c>
      <c r="X13" s="31">
        <f>I13/(I13+J13)</f>
        <v>0.66666666666666663</v>
      </c>
      <c r="Y13" s="31">
        <f>K13/(K13+L13)</f>
        <v>0.58333333333333337</v>
      </c>
      <c r="Z13" s="31" t="e">
        <f>M13/(M13+N13)</f>
        <v>#DIV/0!</v>
      </c>
      <c r="AA13" s="31" t="e">
        <f>O13/(O13+P13)</f>
        <v>#DIV/0!</v>
      </c>
    </row>
    <row r="14" spans="1:29" hidden="1" x14ac:dyDescent="0.3">
      <c r="A14" s="9" t="s">
        <v>298</v>
      </c>
      <c r="B14" s="5" t="s">
        <v>444</v>
      </c>
      <c r="C14" s="7" t="s">
        <v>434</v>
      </c>
      <c r="D14" s="7" t="s">
        <v>475</v>
      </c>
      <c r="E14" s="7" t="s">
        <v>461</v>
      </c>
      <c r="F14" s="7" t="s">
        <v>551</v>
      </c>
      <c r="G14" s="13">
        <v>7</v>
      </c>
      <c r="H14" s="14">
        <v>6</v>
      </c>
      <c r="I14" s="14">
        <v>3</v>
      </c>
      <c r="J14" s="14">
        <v>6</v>
      </c>
      <c r="K14" s="14">
        <v>6</v>
      </c>
      <c r="L14" s="14">
        <v>4</v>
      </c>
      <c r="M14" s="14"/>
      <c r="N14" s="14"/>
      <c r="O14" s="14"/>
      <c r="P14" s="15"/>
      <c r="Q14" s="7" t="s">
        <v>435</v>
      </c>
      <c r="R14" s="7" t="s">
        <v>490</v>
      </c>
      <c r="S14" s="7" t="s">
        <v>497</v>
      </c>
      <c r="T14">
        <f>G14+I14+K14+M14+O14</f>
        <v>16</v>
      </c>
      <c r="U14">
        <f>H14+J14+L14+N14+P14</f>
        <v>16</v>
      </c>
      <c r="V14" s="31">
        <f>T14/(T14+U14)</f>
        <v>0.5</v>
      </c>
      <c r="W14" s="31">
        <f>G14/(G14+H14)</f>
        <v>0.53846153846153844</v>
      </c>
      <c r="X14" s="31">
        <f>I14/(I14+J14)</f>
        <v>0.33333333333333331</v>
      </c>
      <c r="Y14" s="31">
        <f>K14/(K14+L14)</f>
        <v>0.6</v>
      </c>
      <c r="Z14" s="31" t="e">
        <f>M14/(M14+N14)</f>
        <v>#DIV/0!</v>
      </c>
      <c r="AA14" s="31" t="e">
        <f>O14/(O14+P14)</f>
        <v>#DIV/0!</v>
      </c>
      <c r="AC14">
        <f t="shared" si="0"/>
        <v>0</v>
      </c>
    </row>
    <row r="15" spans="1:29" x14ac:dyDescent="0.3">
      <c r="A15" s="8" t="s">
        <v>186</v>
      </c>
      <c r="B15" s="5" t="s">
        <v>309</v>
      </c>
      <c r="C15" s="5" t="s">
        <v>135</v>
      </c>
      <c r="D15" s="5" t="s">
        <v>471</v>
      </c>
      <c r="E15" s="5" t="s">
        <v>467</v>
      </c>
      <c r="F15" s="5" t="s">
        <v>187</v>
      </c>
      <c r="G15" s="16">
        <v>6</v>
      </c>
      <c r="H15" s="17">
        <v>1</v>
      </c>
      <c r="I15" s="17">
        <v>7</v>
      </c>
      <c r="J15" s="17">
        <v>5</v>
      </c>
      <c r="K15" s="17">
        <v>6</v>
      </c>
      <c r="L15" s="17">
        <v>3</v>
      </c>
      <c r="M15" s="17"/>
      <c r="N15" s="17"/>
      <c r="O15" s="17"/>
      <c r="P15" s="18"/>
      <c r="Q15" s="5" t="s">
        <v>172</v>
      </c>
      <c r="R15" s="5" t="s">
        <v>474</v>
      </c>
      <c r="S15" s="5" t="s">
        <v>448</v>
      </c>
      <c r="T15">
        <f>G15+I15+K15+M15+O15</f>
        <v>19</v>
      </c>
      <c r="U15">
        <f>H15+J15+L15+N15+P15</f>
        <v>9</v>
      </c>
      <c r="V15" s="31">
        <f>T15/(T15+U15)</f>
        <v>0.6785714285714286</v>
      </c>
      <c r="W15" s="31">
        <f>G15/(G15+H15)</f>
        <v>0.8571428571428571</v>
      </c>
      <c r="X15" s="31">
        <f>I15/(I15+J15)</f>
        <v>0.58333333333333337</v>
      </c>
      <c r="Y15" s="31">
        <f>K15/(K15+L15)</f>
        <v>0.66666666666666663</v>
      </c>
      <c r="Z15" s="31" t="e">
        <f>M15/(M15+N15)</f>
        <v>#DIV/0!</v>
      </c>
      <c r="AA15" s="31" t="e">
        <f>O15/(O15+P15)</f>
        <v>#DIV/0!</v>
      </c>
    </row>
    <row r="16" spans="1:29" hidden="1" x14ac:dyDescent="0.3">
      <c r="A16" s="8" t="s">
        <v>296</v>
      </c>
      <c r="B16" s="5" t="s">
        <v>444</v>
      </c>
      <c r="C16" s="5" t="s">
        <v>415</v>
      </c>
      <c r="D16" s="5" t="s">
        <v>474</v>
      </c>
      <c r="E16" s="11" t="s">
        <v>448</v>
      </c>
      <c r="F16" s="5" t="s">
        <v>336</v>
      </c>
      <c r="G16" s="16">
        <v>6</v>
      </c>
      <c r="H16" s="17">
        <v>4</v>
      </c>
      <c r="I16" s="17">
        <v>6</v>
      </c>
      <c r="J16" s="17">
        <v>4</v>
      </c>
      <c r="K16" s="17"/>
      <c r="L16" s="17"/>
      <c r="M16" s="17"/>
      <c r="N16" s="17"/>
      <c r="O16" s="17"/>
      <c r="P16" s="18"/>
      <c r="Q16" s="5" t="s">
        <v>416</v>
      </c>
      <c r="R16" s="5" t="s">
        <v>474</v>
      </c>
      <c r="S16" s="5" t="s">
        <v>448</v>
      </c>
      <c r="T16">
        <f>G16+I16+K16+M16+O16</f>
        <v>12</v>
      </c>
      <c r="U16">
        <f>H16+J16+L16+N16+P16</f>
        <v>8</v>
      </c>
      <c r="V16" s="31">
        <f>T16/(T16+U16)</f>
        <v>0.6</v>
      </c>
      <c r="W16" s="31">
        <f>G16/(G16+H16)</f>
        <v>0.6</v>
      </c>
      <c r="X16" s="31">
        <f>I16/(I16+J16)</f>
        <v>0.6</v>
      </c>
      <c r="Y16" s="31" t="e">
        <f>K16/(K16+L16)</f>
        <v>#DIV/0!</v>
      </c>
      <c r="Z16" s="31" t="e">
        <f>M16/(M16+N16)</f>
        <v>#DIV/0!</v>
      </c>
      <c r="AA16" s="31" t="e">
        <f>O16/(O16+P16)</f>
        <v>#DIV/0!</v>
      </c>
      <c r="AC16">
        <f t="shared" si="0"/>
        <v>4</v>
      </c>
    </row>
    <row r="17" spans="1:29" x14ac:dyDescent="0.3">
      <c r="A17" s="8" t="s">
        <v>180</v>
      </c>
      <c r="B17" s="5" t="s">
        <v>309</v>
      </c>
      <c r="C17" s="5" t="s">
        <v>156</v>
      </c>
      <c r="D17" s="5" t="s">
        <v>471</v>
      </c>
      <c r="E17" s="5" t="s">
        <v>467</v>
      </c>
      <c r="F17" s="5" t="s">
        <v>182</v>
      </c>
      <c r="G17" s="16">
        <v>6</v>
      </c>
      <c r="H17" s="17">
        <v>3</v>
      </c>
      <c r="I17" s="17">
        <v>6</v>
      </c>
      <c r="J17" s="17">
        <v>4</v>
      </c>
      <c r="K17" s="17">
        <v>7</v>
      </c>
      <c r="L17" s="17">
        <v>5</v>
      </c>
      <c r="M17" s="17"/>
      <c r="N17" s="17"/>
      <c r="O17" s="17"/>
      <c r="P17" s="18"/>
      <c r="Q17" s="5" t="s">
        <v>181</v>
      </c>
      <c r="R17" s="5" t="s">
        <v>470</v>
      </c>
      <c r="S17" s="5" t="s">
        <v>460</v>
      </c>
      <c r="T17">
        <f>G17+I17+K17+M17+O17</f>
        <v>19</v>
      </c>
      <c r="U17">
        <f>H17+J17+L17+N17+P17</f>
        <v>12</v>
      </c>
      <c r="V17" s="31">
        <f>T17/(T17+U17)</f>
        <v>0.61290322580645162</v>
      </c>
      <c r="W17" s="31">
        <f>G17/(G17+H17)</f>
        <v>0.66666666666666663</v>
      </c>
      <c r="X17" s="31">
        <f>I17/(I17+J17)</f>
        <v>0.6</v>
      </c>
      <c r="Y17" s="31">
        <f>K17/(K17+L17)</f>
        <v>0.58333333333333337</v>
      </c>
      <c r="Z17" s="31" t="e">
        <f>M17/(M17+N17)</f>
        <v>#DIV/0!</v>
      </c>
      <c r="AA17" s="31" t="e">
        <f>O17/(O17+P17)</f>
        <v>#DIV/0!</v>
      </c>
    </row>
    <row r="18" spans="1:29" hidden="1" x14ac:dyDescent="0.3">
      <c r="A18" s="9" t="s">
        <v>295</v>
      </c>
      <c r="B18" s="5" t="s">
        <v>444</v>
      </c>
      <c r="C18" s="7" t="s">
        <v>433</v>
      </c>
      <c r="D18" s="7" t="s">
        <v>458</v>
      </c>
      <c r="E18" s="7" t="s">
        <v>456</v>
      </c>
      <c r="F18" s="7" t="s">
        <v>352</v>
      </c>
      <c r="G18" s="13">
        <v>6</v>
      </c>
      <c r="H18" s="14">
        <v>4</v>
      </c>
      <c r="I18" s="14">
        <v>3</v>
      </c>
      <c r="J18" s="14">
        <v>6</v>
      </c>
      <c r="K18" s="14">
        <v>6</v>
      </c>
      <c r="L18" s="14">
        <v>4</v>
      </c>
      <c r="M18" s="14"/>
      <c r="N18" s="14"/>
      <c r="O18" s="14"/>
      <c r="P18" s="15"/>
      <c r="Q18" s="7" t="s">
        <v>415</v>
      </c>
      <c r="R18" s="7" t="s">
        <v>474</v>
      </c>
      <c r="S18" s="7" t="s">
        <v>448</v>
      </c>
      <c r="T18">
        <f>G18+I18+K18+M18+O18</f>
        <v>15</v>
      </c>
      <c r="U18">
        <f>H18+J18+L18+N18+P18</f>
        <v>14</v>
      </c>
      <c r="V18" s="31">
        <f>T18/(T18+U18)</f>
        <v>0.51724137931034486</v>
      </c>
      <c r="W18" s="31">
        <f>G18/(G18+H18)</f>
        <v>0.6</v>
      </c>
      <c r="X18" s="31">
        <f>I18/(I18+J18)</f>
        <v>0.33333333333333331</v>
      </c>
      <c r="Y18" s="31">
        <f>K18/(K18+L18)</f>
        <v>0.6</v>
      </c>
      <c r="Z18" s="31" t="e">
        <f>M18/(M18+N18)</f>
        <v>#DIV/0!</v>
      </c>
      <c r="AA18" s="31" t="e">
        <f>O18/(O18+P18)</f>
        <v>#DIV/0!</v>
      </c>
      <c r="AC18">
        <f t="shared" si="0"/>
        <v>1</v>
      </c>
    </row>
    <row r="19" spans="1:29" x14ac:dyDescent="0.3">
      <c r="A19" s="9" t="s">
        <v>176</v>
      </c>
      <c r="B19" s="5" t="s">
        <v>309</v>
      </c>
      <c r="C19" s="7" t="s">
        <v>177</v>
      </c>
      <c r="D19" s="7" t="s">
        <v>471</v>
      </c>
      <c r="E19" s="7" t="s">
        <v>467</v>
      </c>
      <c r="F19" s="7" t="s">
        <v>179</v>
      </c>
      <c r="G19" s="13">
        <v>7</v>
      </c>
      <c r="H19" s="14">
        <v>5</v>
      </c>
      <c r="I19" s="14">
        <v>2</v>
      </c>
      <c r="J19" s="14">
        <v>6</v>
      </c>
      <c r="K19" s="14">
        <v>9</v>
      </c>
      <c r="L19" s="14">
        <v>7</v>
      </c>
      <c r="M19" s="14">
        <v>6</v>
      </c>
      <c r="N19" s="14">
        <v>4</v>
      </c>
      <c r="O19" s="14"/>
      <c r="P19" s="15"/>
      <c r="Q19" s="7" t="s">
        <v>178</v>
      </c>
      <c r="R19" s="7" t="s">
        <v>470</v>
      </c>
      <c r="S19" s="7" t="s">
        <v>460</v>
      </c>
      <c r="T19">
        <f>G19+I19+K19+M19+O19</f>
        <v>24</v>
      </c>
      <c r="U19">
        <f>H19+J19+L19+N19+P19</f>
        <v>22</v>
      </c>
      <c r="V19" s="31">
        <f>T19/(T19+U19)</f>
        <v>0.52173913043478259</v>
      </c>
      <c r="W19" s="31">
        <f>G19/(G19+H19)</f>
        <v>0.58333333333333337</v>
      </c>
      <c r="X19" s="31">
        <f>I19/(I19+J19)</f>
        <v>0.25</v>
      </c>
      <c r="Y19" s="31">
        <f>K19/(K19+L19)</f>
        <v>0.5625</v>
      </c>
      <c r="Z19" s="31">
        <f>M19/(M19+N19)</f>
        <v>0.6</v>
      </c>
      <c r="AA19" s="31" t="e">
        <f>O19/(O19+P19)</f>
        <v>#DIV/0!</v>
      </c>
    </row>
    <row r="20" spans="1:29" hidden="1" x14ac:dyDescent="0.3">
      <c r="A20" s="8" t="s">
        <v>294</v>
      </c>
      <c r="B20" s="5" t="s">
        <v>444</v>
      </c>
      <c r="C20" s="5" t="s">
        <v>415</v>
      </c>
      <c r="D20" s="5" t="s">
        <v>474</v>
      </c>
      <c r="E20" s="11" t="s">
        <v>448</v>
      </c>
      <c r="F20" s="5" t="s">
        <v>550</v>
      </c>
      <c r="G20" s="16">
        <v>6</v>
      </c>
      <c r="H20" s="17">
        <v>3</v>
      </c>
      <c r="I20" s="17">
        <v>7</v>
      </c>
      <c r="J20" s="17">
        <v>6</v>
      </c>
      <c r="K20" s="17"/>
      <c r="L20" s="17"/>
      <c r="M20" s="17"/>
      <c r="N20" s="17"/>
      <c r="O20" s="17"/>
      <c r="P20" s="18"/>
      <c r="Q20" s="5" t="s">
        <v>422</v>
      </c>
      <c r="R20" s="5" t="s">
        <v>480</v>
      </c>
      <c r="S20" s="5" t="s">
        <v>452</v>
      </c>
      <c r="T20">
        <f>G20+I20+K20+M20+O20</f>
        <v>13</v>
      </c>
      <c r="U20">
        <f>H20+J20+L20+N20+P20</f>
        <v>9</v>
      </c>
      <c r="V20" s="31">
        <f>T20/(T20+U20)</f>
        <v>0.59090909090909094</v>
      </c>
      <c r="W20" s="31">
        <f>G20/(G20+H20)</f>
        <v>0.66666666666666663</v>
      </c>
      <c r="X20" s="31">
        <f>I20/(I20+J20)</f>
        <v>0.53846153846153844</v>
      </c>
      <c r="Y20" s="31" t="e">
        <f>K20/(K20+L20)</f>
        <v>#DIV/0!</v>
      </c>
      <c r="Z20" s="31" t="e">
        <f>M20/(M20+N20)</f>
        <v>#DIV/0!</v>
      </c>
      <c r="AA20" s="31" t="e">
        <f>O20/(O20+P20)</f>
        <v>#DIV/0!</v>
      </c>
      <c r="AC20">
        <f t="shared" si="0"/>
        <v>4</v>
      </c>
    </row>
    <row r="21" spans="1:29" x14ac:dyDescent="0.3">
      <c r="A21" s="8" t="s">
        <v>174</v>
      </c>
      <c r="B21" s="5" t="s">
        <v>309</v>
      </c>
      <c r="C21" s="5" t="s">
        <v>159</v>
      </c>
      <c r="D21" s="5" t="s">
        <v>471</v>
      </c>
      <c r="E21" s="5" t="s">
        <v>467</v>
      </c>
      <c r="F21" s="5" t="s">
        <v>175</v>
      </c>
      <c r="G21" s="16">
        <v>6</v>
      </c>
      <c r="H21" s="17">
        <v>4</v>
      </c>
      <c r="I21" s="17">
        <v>6</v>
      </c>
      <c r="J21" s="17">
        <v>1</v>
      </c>
      <c r="K21" s="17">
        <v>6</v>
      </c>
      <c r="L21" s="17">
        <v>4</v>
      </c>
      <c r="M21" s="17"/>
      <c r="N21" s="17"/>
      <c r="O21" s="17"/>
      <c r="P21" s="18"/>
      <c r="Q21" s="5" t="s">
        <v>172</v>
      </c>
      <c r="R21" s="5" t="s">
        <v>474</v>
      </c>
      <c r="S21" s="5" t="s">
        <v>448</v>
      </c>
      <c r="T21">
        <f>G21+I21+K21+M21+O21</f>
        <v>18</v>
      </c>
      <c r="U21">
        <f>H21+J21+L21+N21+P21</f>
        <v>9</v>
      </c>
      <c r="V21" s="31">
        <f>T21/(T21+U21)</f>
        <v>0.66666666666666663</v>
      </c>
      <c r="W21" s="31">
        <f>G21/(G21+H21)</f>
        <v>0.6</v>
      </c>
      <c r="X21" s="31">
        <f>I21/(I21+J21)</f>
        <v>0.8571428571428571</v>
      </c>
      <c r="Y21" s="31">
        <f>K21/(K21+L21)</f>
        <v>0.6</v>
      </c>
      <c r="Z21" s="31" t="e">
        <f>M21/(M21+N21)</f>
        <v>#DIV/0!</v>
      </c>
      <c r="AA21" s="31" t="e">
        <f>O21/(O21+P21)</f>
        <v>#DIV/0!</v>
      </c>
    </row>
    <row r="22" spans="1:29" hidden="1" x14ac:dyDescent="0.3">
      <c r="A22" s="9" t="s">
        <v>291</v>
      </c>
      <c r="B22" s="5" t="s">
        <v>444</v>
      </c>
      <c r="C22" s="7" t="s">
        <v>428</v>
      </c>
      <c r="D22" s="7" t="s">
        <v>477</v>
      </c>
      <c r="E22" s="7" t="s">
        <v>463</v>
      </c>
      <c r="F22" s="7" t="s">
        <v>549</v>
      </c>
      <c r="G22" s="13">
        <v>7</v>
      </c>
      <c r="H22" s="14">
        <v>6</v>
      </c>
      <c r="I22" s="14">
        <v>6</v>
      </c>
      <c r="J22" s="14">
        <v>0</v>
      </c>
      <c r="K22" s="14"/>
      <c r="L22" s="14"/>
      <c r="M22" s="14"/>
      <c r="N22" s="14"/>
      <c r="O22" s="14"/>
      <c r="P22" s="15"/>
      <c r="Q22" s="7" t="s">
        <v>432</v>
      </c>
      <c r="R22" s="7" t="s">
        <v>492</v>
      </c>
      <c r="S22" s="7" t="s">
        <v>496</v>
      </c>
      <c r="T22">
        <f>G22+I22+K22+M22+O22</f>
        <v>13</v>
      </c>
      <c r="U22">
        <f>H22+J22+L22+N22+P22</f>
        <v>6</v>
      </c>
      <c r="V22" s="31">
        <f>T22/(T22+U22)</f>
        <v>0.68421052631578949</v>
      </c>
      <c r="W22" s="31">
        <f>G22/(G22+H22)</f>
        <v>0.53846153846153844</v>
      </c>
      <c r="X22" s="31">
        <f>I22/(I22+J22)</f>
        <v>1</v>
      </c>
      <c r="Y22" s="31" t="e">
        <f>K22/(K22+L22)</f>
        <v>#DIV/0!</v>
      </c>
      <c r="Z22" s="31" t="e">
        <f>M22/(M22+N22)</f>
        <v>#DIV/0!</v>
      </c>
      <c r="AA22" s="31" t="e">
        <f>O22/(O22+P22)</f>
        <v>#DIV/0!</v>
      </c>
      <c r="AC22">
        <f t="shared" si="0"/>
        <v>7</v>
      </c>
    </row>
    <row r="23" spans="1:29" x14ac:dyDescent="0.3">
      <c r="A23" s="9" t="s">
        <v>171</v>
      </c>
      <c r="B23" s="5" t="s">
        <v>309</v>
      </c>
      <c r="C23" s="7" t="s">
        <v>159</v>
      </c>
      <c r="D23" s="7" t="s">
        <v>471</v>
      </c>
      <c r="E23" s="7" t="s">
        <v>467</v>
      </c>
      <c r="F23" s="7" t="s">
        <v>173</v>
      </c>
      <c r="G23" s="13">
        <v>6</v>
      </c>
      <c r="H23" s="14">
        <v>4</v>
      </c>
      <c r="I23" s="14">
        <v>6</v>
      </c>
      <c r="J23" s="14">
        <v>8</v>
      </c>
      <c r="K23" s="14">
        <v>6</v>
      </c>
      <c r="L23" s="14">
        <v>2</v>
      </c>
      <c r="M23" s="14">
        <v>6</v>
      </c>
      <c r="N23" s="14">
        <v>3</v>
      </c>
      <c r="O23" s="14"/>
      <c r="P23" s="15"/>
      <c r="Q23" s="7" t="s">
        <v>172</v>
      </c>
      <c r="R23" s="7" t="s">
        <v>474</v>
      </c>
      <c r="S23" s="7" t="s">
        <v>448</v>
      </c>
      <c r="T23">
        <f>G23+I23+K23+M23+O23</f>
        <v>24</v>
      </c>
      <c r="U23">
        <f>H23+J23+L23+N23+P23</f>
        <v>17</v>
      </c>
      <c r="V23" s="31">
        <f>T23/(T23+U23)</f>
        <v>0.58536585365853655</v>
      </c>
      <c r="W23" s="31">
        <f>G23/(G23+H23)</f>
        <v>0.6</v>
      </c>
      <c r="X23" s="31">
        <f>I23/(I23+J23)</f>
        <v>0.42857142857142855</v>
      </c>
      <c r="Y23" s="31">
        <f>K23/(K23+L23)</f>
        <v>0.75</v>
      </c>
      <c r="Z23" s="31">
        <f>M23/(M23+N23)</f>
        <v>0.66666666666666663</v>
      </c>
      <c r="AA23" s="31" t="e">
        <f>O23/(O23+P23)</f>
        <v>#DIV/0!</v>
      </c>
    </row>
    <row r="24" spans="1:29" hidden="1" x14ac:dyDescent="0.3">
      <c r="A24" s="8" t="s">
        <v>290</v>
      </c>
      <c r="B24" s="5" t="s">
        <v>444</v>
      </c>
      <c r="C24" s="5" t="s">
        <v>430</v>
      </c>
      <c r="D24" s="5" t="s">
        <v>478</v>
      </c>
      <c r="E24" s="5" t="s">
        <v>465</v>
      </c>
      <c r="F24" s="5" t="s">
        <v>431</v>
      </c>
      <c r="G24" s="16">
        <v>4</v>
      </c>
      <c r="H24" s="17">
        <v>6</v>
      </c>
      <c r="I24" s="17">
        <v>6</v>
      </c>
      <c r="J24" s="17">
        <v>4</v>
      </c>
      <c r="K24" s="17">
        <v>6</v>
      </c>
      <c r="L24" s="17">
        <v>3</v>
      </c>
      <c r="M24" s="17"/>
      <c r="N24" s="17"/>
      <c r="O24" s="17"/>
      <c r="P24" s="18"/>
      <c r="Q24" s="5" t="s">
        <v>428</v>
      </c>
      <c r="R24" s="5" t="s">
        <v>477</v>
      </c>
      <c r="S24" s="5" t="s">
        <v>463</v>
      </c>
      <c r="T24">
        <f>G24+I24+K24+M24+O24</f>
        <v>16</v>
      </c>
      <c r="U24">
        <f>H24+J24+L24+N24+P24</f>
        <v>13</v>
      </c>
      <c r="V24" s="31">
        <f>T24/(T24+U24)</f>
        <v>0.55172413793103448</v>
      </c>
      <c r="W24" s="31">
        <f>G24/(G24+H24)</f>
        <v>0.4</v>
      </c>
      <c r="X24" s="31">
        <f>I24/(I24+J24)</f>
        <v>0.6</v>
      </c>
      <c r="Y24" s="31">
        <f>K24/(K24+L24)</f>
        <v>0.66666666666666663</v>
      </c>
      <c r="Z24" s="31" t="e">
        <f>M24/(M24+N24)</f>
        <v>#DIV/0!</v>
      </c>
      <c r="AA24" s="31" t="e">
        <f>O24/(O24+P24)</f>
        <v>#DIV/0!</v>
      </c>
      <c r="AC24">
        <f t="shared" si="0"/>
        <v>3</v>
      </c>
    </row>
    <row r="25" spans="1:29" x14ac:dyDescent="0.3">
      <c r="A25" s="8" t="s">
        <v>169</v>
      </c>
      <c r="B25" s="5" t="s">
        <v>309</v>
      </c>
      <c r="C25" s="5" t="s">
        <v>159</v>
      </c>
      <c r="D25" s="5" t="s">
        <v>471</v>
      </c>
      <c r="E25" s="5" t="s">
        <v>467</v>
      </c>
      <c r="F25" s="5" t="s">
        <v>170</v>
      </c>
      <c r="G25" s="16">
        <v>7</v>
      </c>
      <c r="H25" s="17">
        <v>9</v>
      </c>
      <c r="I25" s="17">
        <v>2</v>
      </c>
      <c r="J25" s="17">
        <v>6</v>
      </c>
      <c r="K25" s="17">
        <v>6</v>
      </c>
      <c r="L25" s="17">
        <v>4</v>
      </c>
      <c r="M25" s="17">
        <v>7</v>
      </c>
      <c r="N25" s="17">
        <v>5</v>
      </c>
      <c r="O25" s="17">
        <v>6</v>
      </c>
      <c r="P25" s="18">
        <v>1</v>
      </c>
      <c r="Q25" s="5" t="s">
        <v>167</v>
      </c>
      <c r="R25" s="5" t="s">
        <v>471</v>
      </c>
      <c r="S25" s="5" t="s">
        <v>467</v>
      </c>
      <c r="T25">
        <f>G25+I25+K25+M25+O25</f>
        <v>28</v>
      </c>
      <c r="U25">
        <f>H25+J25+L25+N25+P25</f>
        <v>25</v>
      </c>
      <c r="V25" s="31">
        <f>T25/(T25+U25)</f>
        <v>0.52830188679245282</v>
      </c>
      <c r="W25" s="31">
        <f>G25/(G25+H25)</f>
        <v>0.4375</v>
      </c>
      <c r="X25" s="31">
        <f>I25/(I25+J25)</f>
        <v>0.25</v>
      </c>
      <c r="Y25" s="31">
        <f>K25/(K25+L25)</f>
        <v>0.6</v>
      </c>
      <c r="Z25" s="31">
        <f>M25/(M25+N25)</f>
        <v>0.58333333333333337</v>
      </c>
      <c r="AA25" s="31">
        <f>O25/(O25+P25)</f>
        <v>0.8571428571428571</v>
      </c>
    </row>
    <row r="26" spans="1:29" hidden="1" x14ac:dyDescent="0.3">
      <c r="A26" s="9" t="s">
        <v>289</v>
      </c>
      <c r="B26" s="5" t="s">
        <v>444</v>
      </c>
      <c r="C26" s="7" t="s">
        <v>430</v>
      </c>
      <c r="D26" s="7" t="s">
        <v>478</v>
      </c>
      <c r="E26" s="12" t="s">
        <v>465</v>
      </c>
      <c r="F26" s="7" t="s">
        <v>387</v>
      </c>
      <c r="G26" s="13">
        <v>6</v>
      </c>
      <c r="H26" s="14">
        <v>3</v>
      </c>
      <c r="I26" s="14">
        <v>6</v>
      </c>
      <c r="J26" s="14">
        <v>0</v>
      </c>
      <c r="K26" s="14"/>
      <c r="L26" s="14"/>
      <c r="M26" s="14"/>
      <c r="N26" s="14"/>
      <c r="O26" s="14"/>
      <c r="P26" s="15"/>
      <c r="Q26" s="7" t="s">
        <v>422</v>
      </c>
      <c r="R26" s="7" t="s">
        <v>480</v>
      </c>
      <c r="S26" s="7" t="s">
        <v>452</v>
      </c>
      <c r="T26">
        <f>G26+I26+K26+M26+O26</f>
        <v>12</v>
      </c>
      <c r="U26">
        <f>H26+J26+L26+N26+P26</f>
        <v>3</v>
      </c>
      <c r="V26" s="31">
        <f>T26/(T26+U26)</f>
        <v>0.8</v>
      </c>
      <c r="W26" s="31">
        <f>G26/(G26+H26)</f>
        <v>0.66666666666666663</v>
      </c>
      <c r="X26" s="31">
        <f>I26/(I26+J26)</f>
        <v>1</v>
      </c>
      <c r="Y26" s="31" t="e">
        <f>K26/(K26+L26)</f>
        <v>#DIV/0!</v>
      </c>
      <c r="Z26" s="31" t="e">
        <f>M26/(M26+N26)</f>
        <v>#DIV/0!</v>
      </c>
      <c r="AA26" s="31" t="e">
        <f>O26/(O26+P26)</f>
        <v>#DIV/0!</v>
      </c>
      <c r="AC26">
        <f t="shared" si="0"/>
        <v>9</v>
      </c>
    </row>
    <row r="27" spans="1:29" x14ac:dyDescent="0.3">
      <c r="A27" s="9" t="s">
        <v>166</v>
      </c>
      <c r="B27" s="5" t="s">
        <v>309</v>
      </c>
      <c r="C27" s="7" t="s">
        <v>159</v>
      </c>
      <c r="D27" s="7" t="s">
        <v>471</v>
      </c>
      <c r="E27" s="7" t="s">
        <v>467</v>
      </c>
      <c r="F27" s="7" t="s">
        <v>168</v>
      </c>
      <c r="G27" s="13">
        <v>6</v>
      </c>
      <c r="H27" s="14">
        <v>3</v>
      </c>
      <c r="I27" s="14">
        <v>6</v>
      </c>
      <c r="J27" s="14">
        <v>4</v>
      </c>
      <c r="K27" s="14">
        <v>6</v>
      </c>
      <c r="L27" s="14">
        <v>2</v>
      </c>
      <c r="M27" s="14"/>
      <c r="N27" s="14"/>
      <c r="O27" s="14"/>
      <c r="P27" s="15"/>
      <c r="Q27" s="7" t="s">
        <v>167</v>
      </c>
      <c r="R27" s="7" t="s">
        <v>471</v>
      </c>
      <c r="S27" s="7" t="s">
        <v>467</v>
      </c>
      <c r="T27">
        <f>G27+I27+K27+M27+O27</f>
        <v>18</v>
      </c>
      <c r="U27">
        <f>H27+J27+L27+N27+P27</f>
        <v>9</v>
      </c>
      <c r="V27" s="31">
        <f>T27/(T27+U27)</f>
        <v>0.66666666666666663</v>
      </c>
      <c r="W27" s="31">
        <f>G27/(G27+H27)</f>
        <v>0.66666666666666663</v>
      </c>
      <c r="X27" s="31">
        <f>I27/(I27+J27)</f>
        <v>0.6</v>
      </c>
      <c r="Y27" s="31">
        <f>K27/(K27+L27)</f>
        <v>0.75</v>
      </c>
      <c r="Z27" s="31" t="e">
        <f>M27/(M27+N27)</f>
        <v>#DIV/0!</v>
      </c>
      <c r="AA27" s="31" t="e">
        <f>O27/(O27+P27)</f>
        <v>#DIV/0!</v>
      </c>
    </row>
    <row r="28" spans="1:29" hidden="1" x14ac:dyDescent="0.3">
      <c r="A28" s="8" t="s">
        <v>287</v>
      </c>
      <c r="B28" s="5" t="s">
        <v>444</v>
      </c>
      <c r="C28" s="5" t="s">
        <v>418</v>
      </c>
      <c r="D28" s="5" t="s">
        <v>479</v>
      </c>
      <c r="E28" s="5" t="s">
        <v>466</v>
      </c>
      <c r="F28" s="5" t="s">
        <v>429</v>
      </c>
      <c r="G28" s="16">
        <v>3</v>
      </c>
      <c r="H28" s="17">
        <v>6</v>
      </c>
      <c r="I28" s="17">
        <v>6</v>
      </c>
      <c r="J28" s="17">
        <v>3</v>
      </c>
      <c r="K28" s="17">
        <v>6</v>
      </c>
      <c r="L28" s="17">
        <v>3</v>
      </c>
      <c r="M28" s="17"/>
      <c r="N28" s="17"/>
      <c r="O28" s="17"/>
      <c r="P28" s="18"/>
      <c r="Q28" s="5" t="s">
        <v>428</v>
      </c>
      <c r="R28" s="5" t="s">
        <v>477</v>
      </c>
      <c r="S28" s="5" t="s">
        <v>463</v>
      </c>
      <c r="T28">
        <f>G28+I28+K28+M28+O28</f>
        <v>15</v>
      </c>
      <c r="U28">
        <f>H28+J28+L28+N28+P28</f>
        <v>12</v>
      </c>
      <c r="V28" s="31">
        <f>T28/(T28+U28)</f>
        <v>0.55555555555555558</v>
      </c>
      <c r="W28" s="31">
        <f>G28/(G28+H28)</f>
        <v>0.33333333333333331</v>
      </c>
      <c r="X28" s="31">
        <f>I28/(I28+J28)</f>
        <v>0.66666666666666663</v>
      </c>
      <c r="Y28" s="31">
        <f>K28/(K28+L28)</f>
        <v>0.66666666666666663</v>
      </c>
      <c r="Z28" s="31" t="e">
        <f>M28/(M28+N28)</f>
        <v>#DIV/0!</v>
      </c>
      <c r="AA28" s="31" t="e">
        <f>O28/(O28+P28)</f>
        <v>#DIV/0!</v>
      </c>
      <c r="AC28">
        <f t="shared" si="0"/>
        <v>3</v>
      </c>
    </row>
    <row r="29" spans="1:29" x14ac:dyDescent="0.3">
      <c r="A29" s="8" t="s">
        <v>163</v>
      </c>
      <c r="B29" s="5" t="s">
        <v>309</v>
      </c>
      <c r="C29" s="5" t="s">
        <v>159</v>
      </c>
      <c r="D29" s="5" t="s">
        <v>471</v>
      </c>
      <c r="E29" s="5" t="s">
        <v>467</v>
      </c>
      <c r="F29" s="5" t="s">
        <v>165</v>
      </c>
      <c r="G29" s="16">
        <v>6</v>
      </c>
      <c r="H29" s="17">
        <v>3</v>
      </c>
      <c r="I29" s="17">
        <v>6</v>
      </c>
      <c r="J29" s="17">
        <v>3</v>
      </c>
      <c r="K29" s="17">
        <v>6</v>
      </c>
      <c r="L29" s="17">
        <v>1</v>
      </c>
      <c r="M29" s="17"/>
      <c r="N29" s="17"/>
      <c r="O29" s="17"/>
      <c r="P29" s="18"/>
      <c r="Q29" s="5" t="s">
        <v>164</v>
      </c>
      <c r="R29" s="5" t="s">
        <v>471</v>
      </c>
      <c r="S29" s="5" t="s">
        <v>467</v>
      </c>
      <c r="T29">
        <f>G29+I29+K29+M29+O29</f>
        <v>18</v>
      </c>
      <c r="U29">
        <f>H29+J29+L29+N29+P29</f>
        <v>7</v>
      </c>
      <c r="V29" s="31">
        <f>T29/(T29+U29)</f>
        <v>0.72</v>
      </c>
      <c r="W29" s="31">
        <f>G29/(G29+H29)</f>
        <v>0.66666666666666663</v>
      </c>
      <c r="X29" s="31">
        <f>I29/(I29+J29)</f>
        <v>0.66666666666666663</v>
      </c>
      <c r="Y29" s="31">
        <f>K29/(K29+L29)</f>
        <v>0.8571428571428571</v>
      </c>
      <c r="Z29" s="31" t="e">
        <f>M29/(M29+N29)</f>
        <v>#DIV/0!</v>
      </c>
      <c r="AA29" s="31" t="e">
        <f>O29/(O29+P29)</f>
        <v>#DIV/0!</v>
      </c>
    </row>
    <row r="30" spans="1:29" hidden="1" x14ac:dyDescent="0.3">
      <c r="A30" s="9" t="s">
        <v>285</v>
      </c>
      <c r="B30" s="5" t="s">
        <v>444</v>
      </c>
      <c r="C30" s="7" t="s">
        <v>415</v>
      </c>
      <c r="D30" s="7" t="s">
        <v>474</v>
      </c>
      <c r="E30" s="7" t="s">
        <v>448</v>
      </c>
      <c r="F30" s="7" t="s">
        <v>427</v>
      </c>
      <c r="G30" s="13">
        <v>6</v>
      </c>
      <c r="H30" s="14">
        <v>4</v>
      </c>
      <c r="I30" s="14">
        <v>3</v>
      </c>
      <c r="J30" s="14">
        <v>6</v>
      </c>
      <c r="K30" s="14">
        <v>6</v>
      </c>
      <c r="L30" s="14">
        <v>2</v>
      </c>
      <c r="M30" s="14"/>
      <c r="N30" s="14"/>
      <c r="O30" s="14"/>
      <c r="P30" s="15"/>
      <c r="Q30" s="7" t="s">
        <v>417</v>
      </c>
      <c r="R30" s="7" t="s">
        <v>479</v>
      </c>
      <c r="S30" s="7" t="s">
        <v>466</v>
      </c>
      <c r="T30">
        <f>G30+I30+K30+M30+O30</f>
        <v>15</v>
      </c>
      <c r="U30">
        <f>H30+J30+L30+N30+P30</f>
        <v>12</v>
      </c>
      <c r="V30" s="31">
        <f>T30/(T30+U30)</f>
        <v>0.55555555555555558</v>
      </c>
      <c r="W30" s="31">
        <f>G30/(G30+H30)</f>
        <v>0.6</v>
      </c>
      <c r="X30" s="31">
        <f>I30/(I30+J30)</f>
        <v>0.33333333333333331</v>
      </c>
      <c r="Y30" s="31">
        <f>K30/(K30+L30)</f>
        <v>0.75</v>
      </c>
      <c r="Z30" s="31" t="e">
        <f>M30/(M30+N30)</f>
        <v>#DIV/0!</v>
      </c>
      <c r="AA30" s="31" t="e">
        <f>O30/(O30+P30)</f>
        <v>#DIV/0!</v>
      </c>
      <c r="AC30">
        <f t="shared" si="0"/>
        <v>3</v>
      </c>
    </row>
    <row r="31" spans="1:29" x14ac:dyDescent="0.3">
      <c r="A31" s="9" t="s">
        <v>161</v>
      </c>
      <c r="B31" s="5" t="s">
        <v>309</v>
      </c>
      <c r="C31" s="7" t="s">
        <v>156</v>
      </c>
      <c r="D31" s="7" t="s">
        <v>471</v>
      </c>
      <c r="E31" s="7" t="s">
        <v>467</v>
      </c>
      <c r="F31" s="7" t="s">
        <v>162</v>
      </c>
      <c r="G31" s="13">
        <v>8</v>
      </c>
      <c r="H31" s="14">
        <v>6</v>
      </c>
      <c r="I31" s="14">
        <v>0</v>
      </c>
      <c r="J31" s="14">
        <v>6</v>
      </c>
      <c r="K31" s="14">
        <v>6</v>
      </c>
      <c r="L31" s="14">
        <v>4</v>
      </c>
      <c r="M31" s="14">
        <v>6</v>
      </c>
      <c r="N31" s="14">
        <v>4</v>
      </c>
      <c r="O31" s="14"/>
      <c r="P31" s="15"/>
      <c r="Q31" s="7" t="s">
        <v>159</v>
      </c>
      <c r="R31" s="7" t="s">
        <v>471</v>
      </c>
      <c r="S31" s="7" t="s">
        <v>467</v>
      </c>
      <c r="T31">
        <f>G31+I31+K31+M31+O31</f>
        <v>20</v>
      </c>
      <c r="U31">
        <f>H31+J31+L31+N31+P31</f>
        <v>20</v>
      </c>
      <c r="V31" s="31">
        <f>T31/(T31+U31)</f>
        <v>0.5</v>
      </c>
      <c r="W31" s="31">
        <f>G31/(G31+H31)</f>
        <v>0.5714285714285714</v>
      </c>
      <c r="X31" s="31">
        <f>I31/(I31+J31)</f>
        <v>0</v>
      </c>
      <c r="Y31" s="31">
        <f>K31/(K31+L31)</f>
        <v>0.6</v>
      </c>
      <c r="Z31" s="31">
        <f>M31/(M31+N31)</f>
        <v>0.6</v>
      </c>
      <c r="AA31" s="31" t="e">
        <f>O31/(O31+P31)</f>
        <v>#DIV/0!</v>
      </c>
    </row>
    <row r="32" spans="1:29" hidden="1" x14ac:dyDescent="0.3">
      <c r="A32" s="8" t="s">
        <v>283</v>
      </c>
      <c r="B32" s="5" t="s">
        <v>444</v>
      </c>
      <c r="C32" s="5" t="s">
        <v>415</v>
      </c>
      <c r="D32" s="5" t="s">
        <v>474</v>
      </c>
      <c r="E32" s="11" t="s">
        <v>448</v>
      </c>
      <c r="F32" s="5" t="s">
        <v>426</v>
      </c>
      <c r="G32" s="16">
        <v>6</v>
      </c>
      <c r="H32" s="17">
        <v>0</v>
      </c>
      <c r="I32" s="17">
        <v>6</v>
      </c>
      <c r="J32" s="17">
        <v>3</v>
      </c>
      <c r="K32" s="17"/>
      <c r="L32" s="17"/>
      <c r="M32" s="17"/>
      <c r="N32" s="17"/>
      <c r="O32" s="17"/>
      <c r="P32" s="18"/>
      <c r="Q32" s="5" t="s">
        <v>425</v>
      </c>
      <c r="R32" s="5" t="s">
        <v>480</v>
      </c>
      <c r="S32" s="5" t="s">
        <v>452</v>
      </c>
      <c r="T32">
        <f>G32+I32+K32+M32+O32</f>
        <v>12</v>
      </c>
      <c r="U32">
        <f>H32+J32+L32+N32+P32</f>
        <v>3</v>
      </c>
      <c r="V32" s="31">
        <f>T32/(T32+U32)</f>
        <v>0.8</v>
      </c>
      <c r="W32" s="31">
        <f>G32/(G32+H32)</f>
        <v>1</v>
      </c>
      <c r="X32" s="31">
        <f>I32/(I32+J32)</f>
        <v>0.66666666666666663</v>
      </c>
      <c r="Y32" s="31" t="e">
        <f>K32/(K32+L32)</f>
        <v>#DIV/0!</v>
      </c>
      <c r="Z32" s="31" t="e">
        <f>M32/(M32+N32)</f>
        <v>#DIV/0!</v>
      </c>
      <c r="AA32" s="31" t="e">
        <f>O32/(O32+P32)</f>
        <v>#DIV/0!</v>
      </c>
      <c r="AC32">
        <f t="shared" si="0"/>
        <v>9</v>
      </c>
    </row>
    <row r="33" spans="1:29" x14ac:dyDescent="0.3">
      <c r="A33" s="8" t="s">
        <v>158</v>
      </c>
      <c r="B33" s="5" t="s">
        <v>309</v>
      </c>
      <c r="C33" s="5" t="s">
        <v>159</v>
      </c>
      <c r="D33" s="5" t="s">
        <v>471</v>
      </c>
      <c r="E33" s="5" t="s">
        <v>467</v>
      </c>
      <c r="F33" s="5" t="s">
        <v>160</v>
      </c>
      <c r="G33" s="16">
        <v>1</v>
      </c>
      <c r="H33" s="17">
        <v>6</v>
      </c>
      <c r="I33" s="17">
        <v>6</v>
      </c>
      <c r="J33" s="17">
        <v>3</v>
      </c>
      <c r="K33" s="17">
        <v>7</v>
      </c>
      <c r="L33" s="17">
        <v>5</v>
      </c>
      <c r="M33" s="17">
        <v>6</v>
      </c>
      <c r="N33" s="17">
        <v>4</v>
      </c>
      <c r="O33" s="17"/>
      <c r="P33" s="18"/>
      <c r="Q33" s="5" t="s">
        <v>156</v>
      </c>
      <c r="R33" s="5" t="s">
        <v>471</v>
      </c>
      <c r="S33" s="5" t="s">
        <v>467</v>
      </c>
      <c r="T33">
        <f>G33+I33+K33+M33+O33</f>
        <v>20</v>
      </c>
      <c r="U33">
        <f>H33+J33+L33+N33+P33</f>
        <v>18</v>
      </c>
      <c r="V33" s="31">
        <f>T33/(T33+U33)</f>
        <v>0.52631578947368418</v>
      </c>
      <c r="W33" s="31">
        <f>G33/(G33+H33)</f>
        <v>0.14285714285714285</v>
      </c>
      <c r="X33" s="31">
        <f>I33/(I33+J33)</f>
        <v>0.66666666666666663</v>
      </c>
      <c r="Y33" s="31">
        <f>K33/(K33+L33)</f>
        <v>0.58333333333333337</v>
      </c>
      <c r="Z33" s="31">
        <f>M33/(M33+N33)</f>
        <v>0.6</v>
      </c>
      <c r="AA33" s="31" t="e">
        <f>O33/(O33+P33)</f>
        <v>#DIV/0!</v>
      </c>
    </row>
    <row r="34" spans="1:29" hidden="1" x14ac:dyDescent="0.3">
      <c r="A34" s="9" t="s">
        <v>280</v>
      </c>
      <c r="B34" s="5" t="s">
        <v>444</v>
      </c>
      <c r="C34" s="7" t="s">
        <v>422</v>
      </c>
      <c r="D34" s="7" t="s">
        <v>480</v>
      </c>
      <c r="E34" s="7" t="s">
        <v>452</v>
      </c>
      <c r="F34" s="7" t="s">
        <v>424</v>
      </c>
      <c r="G34" s="13">
        <v>7</v>
      </c>
      <c r="H34" s="14">
        <v>5</v>
      </c>
      <c r="I34" s="14">
        <v>6</v>
      </c>
      <c r="J34" s="14">
        <v>3</v>
      </c>
      <c r="K34" s="14"/>
      <c r="L34" s="14"/>
      <c r="M34" s="14"/>
      <c r="N34" s="14"/>
      <c r="O34" s="14"/>
      <c r="P34" s="15"/>
      <c r="Q34" s="7" t="s">
        <v>423</v>
      </c>
      <c r="R34" s="7" t="s">
        <v>472</v>
      </c>
      <c r="S34" s="7" t="s">
        <v>451</v>
      </c>
      <c r="T34">
        <f>G34+I34+K34+M34+O34</f>
        <v>13</v>
      </c>
      <c r="U34">
        <f>H34+J34+L34+N34+P34</f>
        <v>8</v>
      </c>
      <c r="V34" s="31">
        <f>T34/(T34+U34)</f>
        <v>0.61904761904761907</v>
      </c>
      <c r="W34" s="31">
        <f>G34/(G34+H34)</f>
        <v>0.58333333333333337</v>
      </c>
      <c r="X34" s="31">
        <f>I34/(I34+J34)</f>
        <v>0.66666666666666663</v>
      </c>
      <c r="Y34" s="31" t="e">
        <f>K34/(K34+L34)</f>
        <v>#DIV/0!</v>
      </c>
      <c r="Z34" s="31" t="e">
        <f>M34/(M34+N34)</f>
        <v>#DIV/0!</v>
      </c>
      <c r="AA34" s="31" t="e">
        <f>O34/(O34+P34)</f>
        <v>#DIV/0!</v>
      </c>
      <c r="AC34">
        <f t="shared" si="0"/>
        <v>5</v>
      </c>
    </row>
    <row r="35" spans="1:29" x14ac:dyDescent="0.3">
      <c r="A35" s="9" t="s">
        <v>155</v>
      </c>
      <c r="B35" s="5" t="s">
        <v>309</v>
      </c>
      <c r="C35" s="7" t="s">
        <v>156</v>
      </c>
      <c r="D35" s="7" t="s">
        <v>471</v>
      </c>
      <c r="E35" s="7" t="s">
        <v>467</v>
      </c>
      <c r="F35" s="7" t="s">
        <v>157</v>
      </c>
      <c r="G35" s="13">
        <v>5</v>
      </c>
      <c r="H35" s="14">
        <v>7</v>
      </c>
      <c r="I35" s="14">
        <v>3</v>
      </c>
      <c r="J35" s="14">
        <v>6</v>
      </c>
      <c r="K35" s="14">
        <v>6</v>
      </c>
      <c r="L35" s="14">
        <v>3</v>
      </c>
      <c r="M35" s="14">
        <v>8</v>
      </c>
      <c r="N35" s="14">
        <v>6</v>
      </c>
      <c r="O35" s="14">
        <v>8</v>
      </c>
      <c r="P35" s="15">
        <v>6</v>
      </c>
      <c r="Q35" s="7" t="s">
        <v>148</v>
      </c>
      <c r="R35" s="7" t="s">
        <v>471</v>
      </c>
      <c r="S35" s="7" t="s">
        <v>467</v>
      </c>
      <c r="T35">
        <f>G35+I35+K35+M35+O35</f>
        <v>30</v>
      </c>
      <c r="U35">
        <f>H35+J35+L35+N35+P35</f>
        <v>28</v>
      </c>
      <c r="V35" s="31">
        <f>T35/(T35+U35)</f>
        <v>0.51724137931034486</v>
      </c>
      <c r="W35" s="31">
        <f>G35/(G35+H35)</f>
        <v>0.41666666666666669</v>
      </c>
      <c r="X35" s="31">
        <f>I35/(I35+J35)</f>
        <v>0.33333333333333331</v>
      </c>
      <c r="Y35" s="31">
        <f>K35/(K35+L35)</f>
        <v>0.66666666666666663</v>
      </c>
      <c r="Z35" s="31">
        <f>M35/(M35+N35)</f>
        <v>0.5714285714285714</v>
      </c>
      <c r="AA35" s="31">
        <f>O35/(O35+P35)</f>
        <v>0.5714285714285714</v>
      </c>
    </row>
    <row r="36" spans="1:29" hidden="1" x14ac:dyDescent="0.3">
      <c r="A36" s="8" t="s">
        <v>278</v>
      </c>
      <c r="B36" s="5" t="s">
        <v>444</v>
      </c>
      <c r="C36" s="5" t="s">
        <v>415</v>
      </c>
      <c r="D36" s="5" t="s">
        <v>474</v>
      </c>
      <c r="E36" s="11" t="s">
        <v>448</v>
      </c>
      <c r="F36" s="5" t="s">
        <v>343</v>
      </c>
      <c r="G36" s="16">
        <v>6</v>
      </c>
      <c r="H36" s="17">
        <v>1</v>
      </c>
      <c r="I36" s="17">
        <v>6</v>
      </c>
      <c r="J36" s="17">
        <v>2</v>
      </c>
      <c r="K36" s="17"/>
      <c r="L36" s="17"/>
      <c r="M36" s="17"/>
      <c r="N36" s="17"/>
      <c r="O36" s="17"/>
      <c r="P36" s="18"/>
      <c r="Q36" s="5" t="s">
        <v>422</v>
      </c>
      <c r="R36" s="5" t="s">
        <v>480</v>
      </c>
      <c r="S36" s="5" t="s">
        <v>452</v>
      </c>
      <c r="T36">
        <f>G36+I36+K36+M36+O36</f>
        <v>12</v>
      </c>
      <c r="U36">
        <f>H36+J36+L36+N36+P36</f>
        <v>3</v>
      </c>
      <c r="V36" s="31">
        <f>T36/(T36+U36)</f>
        <v>0.8</v>
      </c>
      <c r="W36" s="31">
        <f>G36/(G36+H36)</f>
        <v>0.8571428571428571</v>
      </c>
      <c r="X36" s="31">
        <f>I36/(I36+J36)</f>
        <v>0.75</v>
      </c>
      <c r="Y36" s="31" t="e">
        <f>K36/(K36+L36)</f>
        <v>#DIV/0!</v>
      </c>
      <c r="Z36" s="31" t="e">
        <f>M36/(M36+N36)</f>
        <v>#DIV/0!</v>
      </c>
      <c r="AA36" s="31" t="e">
        <f>O36/(O36+P36)</f>
        <v>#DIV/0!</v>
      </c>
      <c r="AC36">
        <f t="shared" si="0"/>
        <v>9</v>
      </c>
    </row>
    <row r="37" spans="1:29" x14ac:dyDescent="0.3">
      <c r="A37" s="9" t="s">
        <v>150</v>
      </c>
      <c r="B37" s="5" t="s">
        <v>309</v>
      </c>
      <c r="C37" s="7" t="s">
        <v>147</v>
      </c>
      <c r="D37" s="7" t="s">
        <v>471</v>
      </c>
      <c r="E37" s="7" t="s">
        <v>467</v>
      </c>
      <c r="F37" s="7" t="s">
        <v>152</v>
      </c>
      <c r="G37" s="13">
        <v>7</v>
      </c>
      <c r="H37" s="14">
        <v>5</v>
      </c>
      <c r="I37" s="14">
        <v>6</v>
      </c>
      <c r="J37" s="14">
        <v>3</v>
      </c>
      <c r="K37" s="14">
        <v>6</v>
      </c>
      <c r="L37" s="14">
        <v>4</v>
      </c>
      <c r="M37" s="14"/>
      <c r="N37" s="14"/>
      <c r="O37" s="14"/>
      <c r="P37" s="15"/>
      <c r="Q37" s="7" t="s">
        <v>151</v>
      </c>
      <c r="R37" s="7" t="s">
        <v>471</v>
      </c>
      <c r="S37" s="7" t="s">
        <v>467</v>
      </c>
      <c r="T37">
        <f>G37+I37+K37+M37+O37</f>
        <v>19</v>
      </c>
      <c r="U37">
        <f>H37+J37+L37+N37+P37</f>
        <v>12</v>
      </c>
      <c r="V37" s="31">
        <f>T37/(T37+U37)</f>
        <v>0.61290322580645162</v>
      </c>
      <c r="W37" s="31">
        <f>G37/(G37+H37)</f>
        <v>0.58333333333333337</v>
      </c>
      <c r="X37" s="31">
        <f>I37/(I37+J37)</f>
        <v>0.66666666666666663</v>
      </c>
      <c r="Y37" s="31">
        <f>K37/(K37+L37)</f>
        <v>0.6</v>
      </c>
      <c r="Z37" s="31" t="e">
        <f>M37/(M37+N37)</f>
        <v>#DIV/0!</v>
      </c>
      <c r="AA37" s="31" t="e">
        <f>O37/(O37+P37)</f>
        <v>#DIV/0!</v>
      </c>
    </row>
    <row r="38" spans="1:29" hidden="1" x14ac:dyDescent="0.3">
      <c r="A38" s="9" t="s">
        <v>275</v>
      </c>
      <c r="B38" s="5" t="s">
        <v>444</v>
      </c>
      <c r="C38" s="7" t="s">
        <v>412</v>
      </c>
      <c r="D38" s="7" t="s">
        <v>481</v>
      </c>
      <c r="E38" s="7" t="s">
        <v>459</v>
      </c>
      <c r="F38" s="7" t="s">
        <v>421</v>
      </c>
      <c r="G38" s="13">
        <v>6</v>
      </c>
      <c r="H38" s="14">
        <v>1</v>
      </c>
      <c r="I38" s="14">
        <v>2</v>
      </c>
      <c r="J38" s="14">
        <v>0</v>
      </c>
      <c r="K38" s="14"/>
      <c r="L38" s="14"/>
      <c r="M38" s="14"/>
      <c r="N38" s="14"/>
      <c r="O38" s="14"/>
      <c r="P38" s="15"/>
      <c r="Q38" s="7" t="s">
        <v>417</v>
      </c>
      <c r="R38" s="7" t="s">
        <v>479</v>
      </c>
      <c r="S38" s="7" t="s">
        <v>466</v>
      </c>
      <c r="T38">
        <f>G38+I38+K38+M38+O38</f>
        <v>8</v>
      </c>
      <c r="U38">
        <f>H38+J38+L38+N38+P38</f>
        <v>1</v>
      </c>
      <c r="V38" s="31">
        <f>T38/(T38+U38)</f>
        <v>0.88888888888888884</v>
      </c>
      <c r="W38" s="31">
        <f>G38/(G38+H38)</f>
        <v>0.8571428571428571</v>
      </c>
      <c r="X38" s="31">
        <f>I38/(I38+J38)</f>
        <v>1</v>
      </c>
      <c r="Y38" s="31" t="e">
        <f>K38/(K38+L38)</f>
        <v>#DIV/0!</v>
      </c>
      <c r="Z38" s="31" t="e">
        <f>M38/(M38+N38)</f>
        <v>#DIV/0!</v>
      </c>
      <c r="AA38" s="31" t="e">
        <f>O38/(O38+P38)</f>
        <v>#DIV/0!</v>
      </c>
      <c r="AC38">
        <f t="shared" si="0"/>
        <v>7</v>
      </c>
    </row>
    <row r="39" spans="1:29" x14ac:dyDescent="0.3">
      <c r="A39" s="8" t="s">
        <v>146</v>
      </c>
      <c r="B39" s="5" t="s">
        <v>309</v>
      </c>
      <c r="C39" s="5" t="s">
        <v>147</v>
      </c>
      <c r="D39" s="5" t="s">
        <v>471</v>
      </c>
      <c r="E39" s="5" t="s">
        <v>467</v>
      </c>
      <c r="F39" s="5" t="s">
        <v>149</v>
      </c>
      <c r="G39" s="16">
        <v>6</v>
      </c>
      <c r="H39" s="17">
        <v>3</v>
      </c>
      <c r="I39" s="17">
        <v>9</v>
      </c>
      <c r="J39" s="17">
        <v>11</v>
      </c>
      <c r="K39" s="17">
        <v>6</v>
      </c>
      <c r="L39" s="17">
        <v>4</v>
      </c>
      <c r="M39" s="17">
        <v>6</v>
      </c>
      <c r="N39" s="17">
        <v>2</v>
      </c>
      <c r="O39" s="17"/>
      <c r="P39" s="18"/>
      <c r="Q39" s="5" t="s">
        <v>148</v>
      </c>
      <c r="R39" s="5" t="s">
        <v>471</v>
      </c>
      <c r="S39" s="5" t="s">
        <v>467</v>
      </c>
      <c r="T39">
        <f>G39+I39+K39+M39+O39</f>
        <v>27</v>
      </c>
      <c r="U39">
        <f>H39+J39+L39+N39+P39</f>
        <v>20</v>
      </c>
      <c r="V39" s="31">
        <f>T39/(T39+U39)</f>
        <v>0.57446808510638303</v>
      </c>
      <c r="W39" s="31">
        <f>G39/(G39+H39)</f>
        <v>0.66666666666666663</v>
      </c>
      <c r="X39" s="31">
        <f>I39/(I39+J39)</f>
        <v>0.45</v>
      </c>
      <c r="Y39" s="31">
        <f>K39/(K39+L39)</f>
        <v>0.6</v>
      </c>
      <c r="Z39" s="31">
        <f>M39/(M39+N39)</f>
        <v>0.75</v>
      </c>
      <c r="AA39" s="31" t="e">
        <f>O39/(O39+P39)</f>
        <v>#DIV/0!</v>
      </c>
    </row>
    <row r="40" spans="1:29" hidden="1" x14ac:dyDescent="0.3">
      <c r="A40" s="8" t="s">
        <v>272</v>
      </c>
      <c r="B40" s="5" t="s">
        <v>444</v>
      </c>
      <c r="C40" s="5" t="s">
        <v>415</v>
      </c>
      <c r="D40" s="5" t="s">
        <v>474</v>
      </c>
      <c r="E40" s="11" t="s">
        <v>448</v>
      </c>
      <c r="F40" s="5" t="s">
        <v>420</v>
      </c>
      <c r="G40" s="16">
        <v>2</v>
      </c>
      <c r="H40" s="17">
        <v>6</v>
      </c>
      <c r="I40" s="17">
        <v>6</v>
      </c>
      <c r="J40" s="17">
        <v>3</v>
      </c>
      <c r="K40" s="17">
        <v>6</v>
      </c>
      <c r="L40" s="17">
        <v>0</v>
      </c>
      <c r="M40" s="17"/>
      <c r="N40" s="17"/>
      <c r="O40" s="17"/>
      <c r="P40" s="18"/>
      <c r="Q40" s="5" t="s">
        <v>413</v>
      </c>
      <c r="R40" s="5" t="s">
        <v>474</v>
      </c>
      <c r="S40" s="5" t="s">
        <v>448</v>
      </c>
      <c r="T40">
        <f>G40+I40+K40+M40+O40</f>
        <v>14</v>
      </c>
      <c r="U40">
        <f>H40+J40+L40+N40+P40</f>
        <v>9</v>
      </c>
      <c r="V40" s="31">
        <f>T40/(T40+U40)</f>
        <v>0.60869565217391308</v>
      </c>
      <c r="W40" s="31">
        <f>G40/(G40+H40)</f>
        <v>0.25</v>
      </c>
      <c r="X40" s="31">
        <f>I40/(I40+J40)</f>
        <v>0.66666666666666663</v>
      </c>
      <c r="Y40" s="31">
        <f>K40/(K40+L40)</f>
        <v>1</v>
      </c>
      <c r="Z40" s="31" t="e">
        <f>M40/(M40+N40)</f>
        <v>#DIV/0!</v>
      </c>
      <c r="AA40" s="31" t="e">
        <f>O40/(O40+P40)</f>
        <v>#DIV/0!</v>
      </c>
      <c r="AC40">
        <f t="shared" si="0"/>
        <v>5</v>
      </c>
    </row>
    <row r="41" spans="1:29" x14ac:dyDescent="0.3">
      <c r="A41" s="9" t="s">
        <v>144</v>
      </c>
      <c r="B41" s="5" t="s">
        <v>309</v>
      </c>
      <c r="C41" s="7" t="s">
        <v>142</v>
      </c>
      <c r="D41" s="7" t="s">
        <v>471</v>
      </c>
      <c r="E41" s="7" t="s">
        <v>467</v>
      </c>
      <c r="F41" s="7" t="s">
        <v>145</v>
      </c>
      <c r="G41" s="13">
        <v>6</v>
      </c>
      <c r="H41" s="14">
        <v>4</v>
      </c>
      <c r="I41" s="14">
        <v>3</v>
      </c>
      <c r="J41" s="14">
        <v>6</v>
      </c>
      <c r="K41" s="14">
        <v>6</v>
      </c>
      <c r="L41" s="14">
        <v>4</v>
      </c>
      <c r="M41" s="14">
        <v>7</v>
      </c>
      <c r="N41" s="14">
        <v>5</v>
      </c>
      <c r="O41" s="14"/>
      <c r="P41" s="15"/>
      <c r="Q41" s="7" t="s">
        <v>135</v>
      </c>
      <c r="R41" s="7" t="s">
        <v>471</v>
      </c>
      <c r="S41" s="7" t="s">
        <v>467</v>
      </c>
      <c r="T41">
        <f>G41+I41+K41+M41+O41</f>
        <v>22</v>
      </c>
      <c r="U41">
        <f>H41+J41+L41+N41+P41</f>
        <v>19</v>
      </c>
      <c r="V41" s="31">
        <f>T41/(T41+U41)</f>
        <v>0.53658536585365857</v>
      </c>
      <c r="W41" s="31">
        <f>G41/(G41+H41)</f>
        <v>0.6</v>
      </c>
      <c r="X41" s="31">
        <f>I41/(I41+J41)</f>
        <v>0.33333333333333331</v>
      </c>
      <c r="Y41" s="31">
        <f>K41/(K41+L41)</f>
        <v>0.6</v>
      </c>
      <c r="Z41" s="31">
        <f>M41/(M41+N41)</f>
        <v>0.58333333333333337</v>
      </c>
      <c r="AA41" s="31" t="e">
        <f>O41/(O41+P41)</f>
        <v>#DIV/0!</v>
      </c>
    </row>
    <row r="42" spans="1:29" hidden="1" x14ac:dyDescent="0.3">
      <c r="A42" s="9" t="s">
        <v>270</v>
      </c>
      <c r="B42" s="5" t="s">
        <v>444</v>
      </c>
      <c r="C42" s="7" t="s">
        <v>417</v>
      </c>
      <c r="D42" s="7" t="s">
        <v>479</v>
      </c>
      <c r="E42" s="7" t="s">
        <v>466</v>
      </c>
      <c r="F42" s="7" t="s">
        <v>419</v>
      </c>
      <c r="G42" s="13">
        <v>6</v>
      </c>
      <c r="H42" s="14">
        <v>3</v>
      </c>
      <c r="I42" s="14">
        <v>4</v>
      </c>
      <c r="J42" s="14">
        <v>6</v>
      </c>
      <c r="K42" s="14">
        <v>6</v>
      </c>
      <c r="L42" s="14">
        <v>3</v>
      </c>
      <c r="M42" s="14"/>
      <c r="N42" s="14"/>
      <c r="O42" s="14"/>
      <c r="P42" s="15"/>
      <c r="Q42" s="7" t="s">
        <v>418</v>
      </c>
      <c r="R42" s="7" t="s">
        <v>479</v>
      </c>
      <c r="S42" s="7" t="s">
        <v>466</v>
      </c>
      <c r="T42">
        <f>G42+I42+K42+M42+O42</f>
        <v>16</v>
      </c>
      <c r="U42">
        <f>H42+J42+L42+N42+P42</f>
        <v>12</v>
      </c>
      <c r="V42" s="31">
        <f>T42/(T42+U42)</f>
        <v>0.5714285714285714</v>
      </c>
      <c r="W42" s="31">
        <f>G42/(G42+H42)</f>
        <v>0.66666666666666663</v>
      </c>
      <c r="X42" s="31">
        <f>I42/(I42+J42)</f>
        <v>0.4</v>
      </c>
      <c r="Y42" s="31">
        <f>K42/(K42+L42)</f>
        <v>0.66666666666666663</v>
      </c>
      <c r="Z42" s="31" t="e">
        <f>M42/(M42+N42)</f>
        <v>#DIV/0!</v>
      </c>
      <c r="AA42" s="31" t="e">
        <f>O42/(O42+P42)</f>
        <v>#DIV/0!</v>
      </c>
      <c r="AC42">
        <f t="shared" si="0"/>
        <v>4</v>
      </c>
    </row>
    <row r="43" spans="1:29" x14ac:dyDescent="0.3">
      <c r="A43" s="8" t="s">
        <v>141</v>
      </c>
      <c r="B43" s="5" t="s">
        <v>309</v>
      </c>
      <c r="C43" s="5" t="s">
        <v>135</v>
      </c>
      <c r="D43" s="5" t="s">
        <v>471</v>
      </c>
      <c r="E43" s="5" t="s">
        <v>467</v>
      </c>
      <c r="F43" s="5" t="s">
        <v>143</v>
      </c>
      <c r="G43" s="16">
        <v>9</v>
      </c>
      <c r="H43" s="17">
        <v>7</v>
      </c>
      <c r="I43" s="17">
        <v>6</v>
      </c>
      <c r="J43" s="17">
        <v>4</v>
      </c>
      <c r="K43" s="17">
        <v>6</v>
      </c>
      <c r="L43" s="17">
        <v>4</v>
      </c>
      <c r="M43" s="17"/>
      <c r="N43" s="17"/>
      <c r="O43" s="17"/>
      <c r="P43" s="18"/>
      <c r="Q43" s="5" t="s">
        <v>142</v>
      </c>
      <c r="R43" s="5" t="s">
        <v>471</v>
      </c>
      <c r="S43" s="5" t="s">
        <v>467</v>
      </c>
      <c r="T43">
        <f>G43+I43+K43+M43+O43</f>
        <v>21</v>
      </c>
      <c r="U43">
        <f>H43+J43+L43+N43+P43</f>
        <v>15</v>
      </c>
      <c r="V43" s="31">
        <f>T43/(T43+U43)</f>
        <v>0.58333333333333337</v>
      </c>
      <c r="W43" s="31">
        <f>G43/(G43+H43)</f>
        <v>0.5625</v>
      </c>
      <c r="X43" s="31">
        <f>I43/(I43+J43)</f>
        <v>0.6</v>
      </c>
      <c r="Y43" s="31">
        <f>K43/(K43+L43)</f>
        <v>0.6</v>
      </c>
      <c r="Z43" s="31" t="e">
        <f>M43/(M43+N43)</f>
        <v>#DIV/0!</v>
      </c>
      <c r="AA43" s="31" t="e">
        <f>O43/(O43+P43)</f>
        <v>#DIV/0!</v>
      </c>
    </row>
    <row r="44" spans="1:29" hidden="1" x14ac:dyDescent="0.3">
      <c r="A44" s="8" t="s">
        <v>267</v>
      </c>
      <c r="B44" s="5" t="s">
        <v>444</v>
      </c>
      <c r="C44" s="5" t="s">
        <v>415</v>
      </c>
      <c r="D44" s="5" t="s">
        <v>474</v>
      </c>
      <c r="E44" s="11" t="s">
        <v>448</v>
      </c>
      <c r="F44" s="5" t="s">
        <v>548</v>
      </c>
      <c r="G44" s="16">
        <v>7</v>
      </c>
      <c r="H44" s="17">
        <v>6</v>
      </c>
      <c r="I44" s="17">
        <v>3</v>
      </c>
      <c r="J44" s="17">
        <v>6</v>
      </c>
      <c r="K44" s="17">
        <v>6</v>
      </c>
      <c r="L44" s="17">
        <v>4</v>
      </c>
      <c r="M44" s="17"/>
      <c r="N44" s="17"/>
      <c r="O44" s="17"/>
      <c r="P44" s="18"/>
      <c r="Q44" s="5" t="s">
        <v>416</v>
      </c>
      <c r="R44" s="5" t="s">
        <v>474</v>
      </c>
      <c r="S44" s="5" t="s">
        <v>448</v>
      </c>
      <c r="T44">
        <f>G44+I44+K44+M44+O44</f>
        <v>16</v>
      </c>
      <c r="U44">
        <f>H44+J44+L44+N44+P44</f>
        <v>16</v>
      </c>
      <c r="V44" s="31">
        <f>T44/(T44+U44)</f>
        <v>0.5</v>
      </c>
      <c r="W44" s="31">
        <f>G44/(G44+H44)</f>
        <v>0.53846153846153844</v>
      </c>
      <c r="X44" s="31">
        <f>I44/(I44+J44)</f>
        <v>0.33333333333333331</v>
      </c>
      <c r="Y44" s="31">
        <f>K44/(K44+L44)</f>
        <v>0.6</v>
      </c>
      <c r="Z44" s="31" t="e">
        <f>M44/(M44+N44)</f>
        <v>#DIV/0!</v>
      </c>
      <c r="AA44" s="31" t="e">
        <f>O44/(O44+P44)</f>
        <v>#DIV/0!</v>
      </c>
      <c r="AC44">
        <f t="shared" si="0"/>
        <v>0</v>
      </c>
    </row>
    <row r="45" spans="1:29" x14ac:dyDescent="0.3">
      <c r="A45" s="9" t="s">
        <v>138</v>
      </c>
      <c r="B45" s="5" t="s">
        <v>309</v>
      </c>
      <c r="C45" s="7" t="s">
        <v>136</v>
      </c>
      <c r="D45" s="7" t="s">
        <v>471</v>
      </c>
      <c r="E45" s="7" t="s">
        <v>467</v>
      </c>
      <c r="F45" s="7" t="s">
        <v>140</v>
      </c>
      <c r="G45" s="13">
        <v>6</v>
      </c>
      <c r="H45" s="14">
        <v>2</v>
      </c>
      <c r="I45" s="14">
        <v>0</v>
      </c>
      <c r="J45" s="14">
        <v>6</v>
      </c>
      <c r="K45" s="14">
        <v>6</v>
      </c>
      <c r="L45" s="14">
        <v>4</v>
      </c>
      <c r="M45" s="14">
        <v>6</v>
      </c>
      <c r="N45" s="14">
        <v>2</v>
      </c>
      <c r="O45" s="14"/>
      <c r="P45" s="15"/>
      <c r="Q45" s="7" t="s">
        <v>139</v>
      </c>
      <c r="R45" s="7" t="s">
        <v>471</v>
      </c>
      <c r="S45" s="7" t="s">
        <v>467</v>
      </c>
      <c r="T45">
        <f>G45+I45+K45+M45+O45</f>
        <v>18</v>
      </c>
      <c r="U45">
        <f>H45+J45+L45+N45+P45</f>
        <v>14</v>
      </c>
      <c r="V45" s="31">
        <f>T45/(T45+U45)</f>
        <v>0.5625</v>
      </c>
      <c r="W45" s="31">
        <f>G45/(G45+H45)</f>
        <v>0.75</v>
      </c>
      <c r="X45" s="31">
        <f>I45/(I45+J45)</f>
        <v>0</v>
      </c>
      <c r="Y45" s="31">
        <f>K45/(K45+L45)</f>
        <v>0.6</v>
      </c>
      <c r="Z45" s="31">
        <f>M45/(M45+N45)</f>
        <v>0.75</v>
      </c>
      <c r="AA45" s="31" t="e">
        <f>O45/(O45+P45)</f>
        <v>#DIV/0!</v>
      </c>
    </row>
    <row r="46" spans="1:29" hidden="1" x14ac:dyDescent="0.3">
      <c r="A46" s="9" t="s">
        <v>264</v>
      </c>
      <c r="B46" s="5" t="s">
        <v>444</v>
      </c>
      <c r="C46" s="7" t="s">
        <v>414</v>
      </c>
      <c r="D46" s="7" t="s">
        <v>474</v>
      </c>
      <c r="E46" s="7" t="s">
        <v>448</v>
      </c>
      <c r="F46" s="7" t="s">
        <v>547</v>
      </c>
      <c r="G46" s="13">
        <v>4</v>
      </c>
      <c r="H46" s="14">
        <v>6</v>
      </c>
      <c r="I46" s="14">
        <v>7</v>
      </c>
      <c r="J46" s="14">
        <v>6</v>
      </c>
      <c r="K46" s="14">
        <v>6</v>
      </c>
      <c r="L46" s="14">
        <v>2</v>
      </c>
      <c r="M46" s="14"/>
      <c r="N46" s="14"/>
      <c r="O46" s="14"/>
      <c r="P46" s="15"/>
      <c r="Q46" s="7" t="s">
        <v>410</v>
      </c>
      <c r="R46" s="7" t="s">
        <v>476</v>
      </c>
      <c r="S46" s="7" t="s">
        <v>469</v>
      </c>
      <c r="T46">
        <f>G46+I46+K46+M46+O46</f>
        <v>17</v>
      </c>
      <c r="U46">
        <f>H46+J46+L46+N46+P46</f>
        <v>14</v>
      </c>
      <c r="V46" s="31">
        <f>T46/(T46+U46)</f>
        <v>0.54838709677419351</v>
      </c>
      <c r="W46" s="31">
        <f>G46/(G46+H46)</f>
        <v>0.4</v>
      </c>
      <c r="X46" s="31">
        <f>I46/(I46+J46)</f>
        <v>0.53846153846153844</v>
      </c>
      <c r="Y46" s="31">
        <f>K46/(K46+L46)</f>
        <v>0.75</v>
      </c>
      <c r="Z46" s="31" t="e">
        <f>M46/(M46+N46)</f>
        <v>#DIV/0!</v>
      </c>
      <c r="AA46" s="31" t="e">
        <f>O46/(O46+P46)</f>
        <v>#DIV/0!</v>
      </c>
      <c r="AC46">
        <f t="shared" si="0"/>
        <v>3</v>
      </c>
    </row>
    <row r="47" spans="1:29" x14ac:dyDescent="0.3">
      <c r="A47" s="8" t="s">
        <v>134</v>
      </c>
      <c r="B47" s="5" t="s">
        <v>309</v>
      </c>
      <c r="C47" s="5" t="s">
        <v>135</v>
      </c>
      <c r="D47" s="5" t="s">
        <v>471</v>
      </c>
      <c r="E47" s="5" t="s">
        <v>467</v>
      </c>
      <c r="F47" s="5" t="s">
        <v>137</v>
      </c>
      <c r="G47" s="16">
        <v>6</v>
      </c>
      <c r="H47" s="17">
        <v>0</v>
      </c>
      <c r="I47" s="17">
        <v>6</v>
      </c>
      <c r="J47" s="17">
        <v>3</v>
      </c>
      <c r="K47" s="17">
        <v>6</v>
      </c>
      <c r="L47" s="17">
        <v>4</v>
      </c>
      <c r="M47" s="17"/>
      <c r="N47" s="17"/>
      <c r="O47" s="17"/>
      <c r="P47" s="18"/>
      <c r="Q47" s="5" t="s">
        <v>136</v>
      </c>
      <c r="R47" s="5" t="s">
        <v>471</v>
      </c>
      <c r="S47" s="5" t="s">
        <v>467</v>
      </c>
      <c r="T47">
        <f>G47+I47+K47+M47+O47</f>
        <v>18</v>
      </c>
      <c r="U47">
        <f>H47+J47+L47+N47+P47</f>
        <v>7</v>
      </c>
      <c r="V47" s="31">
        <f>T47/(T47+U47)</f>
        <v>0.72</v>
      </c>
      <c r="W47" s="31">
        <f>G47/(G47+H47)</f>
        <v>1</v>
      </c>
      <c r="X47" s="31">
        <f>I47/(I47+J47)</f>
        <v>0.66666666666666663</v>
      </c>
      <c r="Y47" s="31">
        <f>K47/(K47+L47)</f>
        <v>0.6</v>
      </c>
      <c r="Z47" s="31" t="e">
        <f>M47/(M47+N47)</f>
        <v>#DIV/0!</v>
      </c>
      <c r="AA47" s="31" t="e">
        <f>O47/(O47+P47)</f>
        <v>#DIV/0!</v>
      </c>
    </row>
    <row r="48" spans="1:29" hidden="1" x14ac:dyDescent="0.3">
      <c r="A48" s="8" t="s">
        <v>261</v>
      </c>
      <c r="B48" s="5" t="s">
        <v>444</v>
      </c>
      <c r="C48" s="5" t="s">
        <v>414</v>
      </c>
      <c r="D48" s="5" t="s">
        <v>474</v>
      </c>
      <c r="E48" s="11" t="s">
        <v>448</v>
      </c>
      <c r="F48" s="5" t="s">
        <v>330</v>
      </c>
      <c r="G48" s="16">
        <v>6</v>
      </c>
      <c r="H48" s="17">
        <v>4</v>
      </c>
      <c r="I48" s="17">
        <v>6</v>
      </c>
      <c r="J48" s="17">
        <v>3</v>
      </c>
      <c r="K48" s="17"/>
      <c r="L48" s="17"/>
      <c r="M48" s="17"/>
      <c r="N48" s="17"/>
      <c r="O48" s="17"/>
      <c r="P48" s="18"/>
      <c r="Q48" s="5" t="s">
        <v>410</v>
      </c>
      <c r="R48" s="5" t="s">
        <v>476</v>
      </c>
      <c r="S48" s="5" t="s">
        <v>469</v>
      </c>
      <c r="T48">
        <f>G48+I48+K48+M48+O48</f>
        <v>12</v>
      </c>
      <c r="U48">
        <f>H48+J48+L48+N48+P48</f>
        <v>7</v>
      </c>
      <c r="V48" s="31">
        <f>T48/(T48+U48)</f>
        <v>0.63157894736842102</v>
      </c>
      <c r="W48" s="31">
        <f>G48/(G48+H48)</f>
        <v>0.6</v>
      </c>
      <c r="X48" s="31">
        <f>I48/(I48+J48)</f>
        <v>0.66666666666666663</v>
      </c>
      <c r="Y48" s="31" t="e">
        <f>K48/(K48+L48)</f>
        <v>#DIV/0!</v>
      </c>
      <c r="Z48" s="31" t="e">
        <f>M48/(M48+N48)</f>
        <v>#DIV/0!</v>
      </c>
      <c r="AA48" s="31" t="e">
        <f>O48/(O48+P48)</f>
        <v>#DIV/0!</v>
      </c>
      <c r="AC48">
        <f t="shared" si="0"/>
        <v>5</v>
      </c>
    </row>
    <row r="49" spans="1:29" x14ac:dyDescent="0.3">
      <c r="A49" s="9" t="s">
        <v>132</v>
      </c>
      <c r="B49" s="5" t="s">
        <v>309</v>
      </c>
      <c r="C49" s="7" t="s">
        <v>127</v>
      </c>
      <c r="D49" s="7" t="s">
        <v>471</v>
      </c>
      <c r="E49" s="7" t="s">
        <v>467</v>
      </c>
      <c r="F49" s="7" t="s">
        <v>133</v>
      </c>
      <c r="G49" s="13">
        <v>7</v>
      </c>
      <c r="H49" s="14">
        <v>5</v>
      </c>
      <c r="I49" s="14">
        <v>12</v>
      </c>
      <c r="J49" s="14">
        <v>10</v>
      </c>
      <c r="K49" s="14">
        <v>2</v>
      </c>
      <c r="L49" s="14">
        <v>6</v>
      </c>
      <c r="M49" s="14">
        <v>6</v>
      </c>
      <c r="N49" s="14">
        <v>2</v>
      </c>
      <c r="O49" s="14"/>
      <c r="P49" s="15"/>
      <c r="Q49" s="7" t="s">
        <v>124</v>
      </c>
      <c r="R49" s="7" t="s">
        <v>471</v>
      </c>
      <c r="S49" s="7" t="s">
        <v>467</v>
      </c>
      <c r="T49">
        <f>G49+I49+K49+M49+O49</f>
        <v>27</v>
      </c>
      <c r="U49">
        <f>H49+J49+L49+N49+P49</f>
        <v>23</v>
      </c>
      <c r="V49" s="31">
        <f>T49/(T49+U49)</f>
        <v>0.54</v>
      </c>
      <c r="W49" s="31">
        <f>G49/(G49+H49)</f>
        <v>0.58333333333333337</v>
      </c>
      <c r="X49" s="31">
        <f>I49/(I49+J49)</f>
        <v>0.54545454545454541</v>
      </c>
      <c r="Y49" s="31">
        <f>K49/(K49+L49)</f>
        <v>0.25</v>
      </c>
      <c r="Z49" s="31">
        <f>M49/(M49+N49)</f>
        <v>0.75</v>
      </c>
      <c r="AA49" s="31" t="e">
        <f>O49/(O49+P49)</f>
        <v>#DIV/0!</v>
      </c>
    </row>
    <row r="50" spans="1:29" hidden="1" x14ac:dyDescent="0.3">
      <c r="A50" s="9" t="s">
        <v>259</v>
      </c>
      <c r="B50" s="5" t="s">
        <v>444</v>
      </c>
      <c r="C50" s="7" t="s">
        <v>413</v>
      </c>
      <c r="D50" s="7" t="s">
        <v>474</v>
      </c>
      <c r="E50" s="7" t="s">
        <v>448</v>
      </c>
      <c r="F50" s="7" t="s">
        <v>313</v>
      </c>
      <c r="G50" s="13">
        <v>6</v>
      </c>
      <c r="H50" s="14">
        <v>1</v>
      </c>
      <c r="I50" s="14">
        <v>7</v>
      </c>
      <c r="J50" s="14">
        <v>5</v>
      </c>
      <c r="K50" s="14"/>
      <c r="L50" s="14"/>
      <c r="M50" s="14"/>
      <c r="N50" s="14"/>
      <c r="O50" s="14"/>
      <c r="P50" s="15"/>
      <c r="Q50" s="7" t="s">
        <v>410</v>
      </c>
      <c r="R50" s="7" t="s">
        <v>476</v>
      </c>
      <c r="S50" s="7" t="s">
        <v>469</v>
      </c>
      <c r="T50">
        <f>G50+I50+K50+M50+O50</f>
        <v>13</v>
      </c>
      <c r="U50">
        <f>H50+J50+L50+N50+P50</f>
        <v>6</v>
      </c>
      <c r="V50" s="31">
        <f>T50/(T50+U50)</f>
        <v>0.68421052631578949</v>
      </c>
      <c r="W50" s="31">
        <f>G50/(G50+H50)</f>
        <v>0.8571428571428571</v>
      </c>
      <c r="X50" s="31">
        <f>I50/(I50+J50)</f>
        <v>0.58333333333333337</v>
      </c>
      <c r="Y50" s="31" t="e">
        <f>K50/(K50+L50)</f>
        <v>#DIV/0!</v>
      </c>
      <c r="Z50" s="31" t="e">
        <f>M50/(M50+N50)</f>
        <v>#DIV/0!</v>
      </c>
      <c r="AA50" s="31" t="e">
        <f>O50/(O50+P50)</f>
        <v>#DIV/0!</v>
      </c>
      <c r="AC50">
        <f t="shared" si="0"/>
        <v>7</v>
      </c>
    </row>
    <row r="51" spans="1:29" x14ac:dyDescent="0.3">
      <c r="A51" s="9" t="s">
        <v>126</v>
      </c>
      <c r="B51" s="5" t="s">
        <v>309</v>
      </c>
      <c r="C51" s="7" t="s">
        <v>124</v>
      </c>
      <c r="D51" s="7" t="s">
        <v>471</v>
      </c>
      <c r="E51" s="7" t="s">
        <v>467</v>
      </c>
      <c r="F51" s="7" t="s">
        <v>128</v>
      </c>
      <c r="G51" s="13">
        <v>6</v>
      </c>
      <c r="H51" s="14">
        <v>3</v>
      </c>
      <c r="I51" s="14">
        <v>6</v>
      </c>
      <c r="J51" s="14">
        <v>4</v>
      </c>
      <c r="K51" s="14">
        <v>4</v>
      </c>
      <c r="L51" s="14">
        <v>6</v>
      </c>
      <c r="M51" s="14">
        <v>6</v>
      </c>
      <c r="N51" s="14">
        <v>1</v>
      </c>
      <c r="O51" s="14"/>
      <c r="P51" s="15"/>
      <c r="Q51" s="7" t="s">
        <v>127</v>
      </c>
      <c r="R51" s="7" t="s">
        <v>471</v>
      </c>
      <c r="S51" s="7" t="s">
        <v>467</v>
      </c>
      <c r="T51">
        <f>G51+I51+K51+M51+O51</f>
        <v>22</v>
      </c>
      <c r="U51">
        <f>H51+J51+L51+N51+P51</f>
        <v>14</v>
      </c>
      <c r="V51" s="31">
        <f>T51/(T51+U51)</f>
        <v>0.61111111111111116</v>
      </c>
      <c r="W51" s="31">
        <f>G51/(G51+H51)</f>
        <v>0.66666666666666663</v>
      </c>
      <c r="X51" s="31">
        <f>I51/(I51+J51)</f>
        <v>0.6</v>
      </c>
      <c r="Y51" s="31">
        <f>K51/(K51+L51)</f>
        <v>0.4</v>
      </c>
      <c r="Z51" s="31">
        <f>M51/(M51+N51)</f>
        <v>0.8571428571428571</v>
      </c>
      <c r="AA51" s="31" t="e">
        <f>O51/(O51+P51)</f>
        <v>#DIV/0!</v>
      </c>
    </row>
    <row r="52" spans="1:29" hidden="1" x14ac:dyDescent="0.3">
      <c r="A52" s="8" t="s">
        <v>256</v>
      </c>
      <c r="B52" s="5" t="s">
        <v>444</v>
      </c>
      <c r="C52" s="5" t="s">
        <v>410</v>
      </c>
      <c r="D52" s="5" t="s">
        <v>476</v>
      </c>
      <c r="E52" s="5" t="s">
        <v>469</v>
      </c>
      <c r="F52" s="5" t="s">
        <v>354</v>
      </c>
      <c r="G52" s="16">
        <v>6</v>
      </c>
      <c r="H52" s="17">
        <v>2</v>
      </c>
      <c r="I52" s="17">
        <v>6</v>
      </c>
      <c r="J52" s="17">
        <v>3</v>
      </c>
      <c r="K52" s="17"/>
      <c r="L52" s="17"/>
      <c r="M52" s="17"/>
      <c r="N52" s="17"/>
      <c r="O52" s="17"/>
      <c r="P52" s="18"/>
      <c r="Q52" s="5" t="s">
        <v>412</v>
      </c>
      <c r="R52" s="5" t="s">
        <v>481</v>
      </c>
      <c r="S52" s="5" t="s">
        <v>459</v>
      </c>
      <c r="T52">
        <f>G52+I52+K52+M52+O52</f>
        <v>12</v>
      </c>
      <c r="U52">
        <f>H52+J52+L52+N52+P52</f>
        <v>5</v>
      </c>
      <c r="V52" s="31">
        <f>T52/(T52+U52)</f>
        <v>0.70588235294117652</v>
      </c>
      <c r="W52" s="31">
        <f>G52/(G52+H52)</f>
        <v>0.75</v>
      </c>
      <c r="X52" s="31">
        <f>I52/(I52+J52)</f>
        <v>0.66666666666666663</v>
      </c>
      <c r="Y52" s="31" t="e">
        <f>K52/(K52+L52)</f>
        <v>#DIV/0!</v>
      </c>
      <c r="Z52" s="31" t="e">
        <f>M52/(M52+N52)</f>
        <v>#DIV/0!</v>
      </c>
      <c r="AA52" s="31" t="e">
        <f>O52/(O52+P52)</f>
        <v>#DIV/0!</v>
      </c>
      <c r="AC52">
        <f t="shared" si="0"/>
        <v>7</v>
      </c>
    </row>
    <row r="53" spans="1:29" x14ac:dyDescent="0.3">
      <c r="A53" s="8" t="s">
        <v>123</v>
      </c>
      <c r="B53" s="5" t="s">
        <v>309</v>
      </c>
      <c r="C53" s="5" t="s">
        <v>124</v>
      </c>
      <c r="D53" s="5" t="s">
        <v>471</v>
      </c>
      <c r="E53" s="5" t="s">
        <v>467</v>
      </c>
      <c r="F53" s="5" t="s">
        <v>125</v>
      </c>
      <c r="G53" s="16">
        <v>6</v>
      </c>
      <c r="H53" s="17">
        <v>3</v>
      </c>
      <c r="I53" s="17">
        <v>6</v>
      </c>
      <c r="J53" s="17">
        <v>2</v>
      </c>
      <c r="K53" s="17">
        <v>6</v>
      </c>
      <c r="L53" s="17">
        <v>2</v>
      </c>
      <c r="M53" s="17"/>
      <c r="N53" s="17"/>
      <c r="O53" s="17"/>
      <c r="P53" s="18"/>
      <c r="Q53" s="5" t="s">
        <v>107</v>
      </c>
      <c r="R53" s="5" t="s">
        <v>471</v>
      </c>
      <c r="S53" s="5" t="s">
        <v>467</v>
      </c>
      <c r="T53">
        <f>G53+I53+K53+M53+O53</f>
        <v>18</v>
      </c>
      <c r="U53">
        <f>H53+J53+L53+N53+P53</f>
        <v>7</v>
      </c>
      <c r="V53" s="31">
        <f>T53/(T53+U53)</f>
        <v>0.72</v>
      </c>
      <c r="W53" s="31">
        <f>G53/(G53+H53)</f>
        <v>0.66666666666666663</v>
      </c>
      <c r="X53" s="31">
        <f>I53/(I53+J53)</f>
        <v>0.75</v>
      </c>
      <c r="Y53" s="31">
        <f>K53/(K53+L53)</f>
        <v>0.75</v>
      </c>
      <c r="Z53" s="31" t="e">
        <f>M53/(M53+N53)</f>
        <v>#DIV/0!</v>
      </c>
      <c r="AA53" s="31" t="e">
        <f>O53/(O53+P53)</f>
        <v>#DIV/0!</v>
      </c>
    </row>
    <row r="54" spans="1:29" hidden="1" x14ac:dyDescent="0.3">
      <c r="A54" s="9" t="s">
        <v>253</v>
      </c>
      <c r="B54" s="5" t="s">
        <v>444</v>
      </c>
      <c r="C54" s="7" t="s">
        <v>410</v>
      </c>
      <c r="D54" s="7" t="s">
        <v>476</v>
      </c>
      <c r="E54" s="7" t="s">
        <v>469</v>
      </c>
      <c r="F54" s="7" t="s">
        <v>392</v>
      </c>
      <c r="G54" s="13">
        <v>6</v>
      </c>
      <c r="H54" s="14">
        <v>3</v>
      </c>
      <c r="I54" s="14">
        <v>6</v>
      </c>
      <c r="J54" s="14">
        <v>3</v>
      </c>
      <c r="K54" s="14"/>
      <c r="L54" s="14"/>
      <c r="M54" s="14"/>
      <c r="N54" s="14"/>
      <c r="O54" s="14"/>
      <c r="P54" s="15"/>
      <c r="Q54" s="7" t="s">
        <v>411</v>
      </c>
      <c r="R54" s="7" t="s">
        <v>470</v>
      </c>
      <c r="S54" s="7" t="s">
        <v>460</v>
      </c>
      <c r="T54">
        <f>G54+I54+K54+M54+O54</f>
        <v>12</v>
      </c>
      <c r="U54">
        <f>H54+J54+L54+N54+P54</f>
        <v>6</v>
      </c>
      <c r="V54" s="31">
        <f>T54/(T54+U54)</f>
        <v>0.66666666666666663</v>
      </c>
      <c r="W54" s="31">
        <f>G54/(G54+H54)</f>
        <v>0.66666666666666663</v>
      </c>
      <c r="X54" s="31">
        <f>I54/(I54+J54)</f>
        <v>0.66666666666666663</v>
      </c>
      <c r="Y54" s="31" t="e">
        <f>K54/(K54+L54)</f>
        <v>#DIV/0!</v>
      </c>
      <c r="Z54" s="31" t="e">
        <f>M54/(M54+N54)</f>
        <v>#DIV/0!</v>
      </c>
      <c r="AA54" s="31" t="e">
        <f>O54/(O54+P54)</f>
        <v>#DIV/0!</v>
      </c>
      <c r="AC54">
        <f t="shared" si="0"/>
        <v>6</v>
      </c>
    </row>
    <row r="55" spans="1:29" x14ac:dyDescent="0.3">
      <c r="A55" s="9" t="s">
        <v>121</v>
      </c>
      <c r="B55" s="5" t="s">
        <v>309</v>
      </c>
      <c r="C55" s="7" t="s">
        <v>103</v>
      </c>
      <c r="D55" s="7" t="s">
        <v>471</v>
      </c>
      <c r="E55" s="7" t="s">
        <v>467</v>
      </c>
      <c r="F55" s="7" t="s">
        <v>122</v>
      </c>
      <c r="G55" s="13">
        <v>6</v>
      </c>
      <c r="H55" s="14">
        <v>4</v>
      </c>
      <c r="I55" s="14">
        <v>3</v>
      </c>
      <c r="J55" s="14">
        <v>6</v>
      </c>
      <c r="K55" s="14">
        <v>6</v>
      </c>
      <c r="L55" s="14">
        <v>3</v>
      </c>
      <c r="M55" s="14">
        <v>2</v>
      </c>
      <c r="N55" s="14">
        <v>6</v>
      </c>
      <c r="O55" s="14">
        <v>6</v>
      </c>
      <c r="P55" s="15">
        <v>3</v>
      </c>
      <c r="Q55" s="7" t="s">
        <v>107</v>
      </c>
      <c r="R55" s="7" t="s">
        <v>471</v>
      </c>
      <c r="S55" s="7" t="s">
        <v>467</v>
      </c>
      <c r="T55">
        <f>G55+I55+K55+M55+O55</f>
        <v>23</v>
      </c>
      <c r="U55">
        <f>H55+J55+L55+N55+P55</f>
        <v>22</v>
      </c>
      <c r="V55" s="31">
        <f>T55/(T55+U55)</f>
        <v>0.51111111111111107</v>
      </c>
      <c r="W55" s="31">
        <f>G55/(G55+H55)</f>
        <v>0.6</v>
      </c>
      <c r="X55" s="31">
        <f>I55/(I55+J55)</f>
        <v>0.33333333333333331</v>
      </c>
      <c r="Y55" s="31">
        <f>K55/(K55+L55)</f>
        <v>0.66666666666666663</v>
      </c>
      <c r="Z55" s="31">
        <f>M55/(M55+N55)</f>
        <v>0.25</v>
      </c>
      <c r="AA55" s="31">
        <f>O55/(O55+P55)</f>
        <v>0.66666666666666663</v>
      </c>
    </row>
    <row r="56" spans="1:29" hidden="1" x14ac:dyDescent="0.3">
      <c r="A56" s="8" t="s">
        <v>250</v>
      </c>
      <c r="B56" s="5" t="s">
        <v>444</v>
      </c>
      <c r="C56" s="5" t="s">
        <v>410</v>
      </c>
      <c r="D56" s="5" t="s">
        <v>476</v>
      </c>
      <c r="E56" s="5" t="s">
        <v>469</v>
      </c>
      <c r="F56" s="5" t="s">
        <v>369</v>
      </c>
      <c r="G56" s="16">
        <v>6</v>
      </c>
      <c r="H56" s="17">
        <v>2</v>
      </c>
      <c r="I56" s="17">
        <v>6</v>
      </c>
      <c r="J56" s="17">
        <v>2</v>
      </c>
      <c r="K56" s="17"/>
      <c r="L56" s="17"/>
      <c r="M56" s="17"/>
      <c r="N56" s="17"/>
      <c r="O56" s="17"/>
      <c r="P56" s="18"/>
      <c r="Q56" s="5" t="s">
        <v>408</v>
      </c>
      <c r="R56" s="5" t="s">
        <v>481</v>
      </c>
      <c r="S56" s="5" t="s">
        <v>459</v>
      </c>
      <c r="T56">
        <f>G56+I56+K56+M56+O56</f>
        <v>12</v>
      </c>
      <c r="U56">
        <f>H56+J56+L56+N56+P56</f>
        <v>4</v>
      </c>
      <c r="V56" s="31">
        <f>T56/(T56+U56)</f>
        <v>0.75</v>
      </c>
      <c r="W56" s="31">
        <f>G56/(G56+H56)</f>
        <v>0.75</v>
      </c>
      <c r="X56" s="31">
        <f>I56/(I56+J56)</f>
        <v>0.75</v>
      </c>
      <c r="Y56" s="31" t="e">
        <f>K56/(K56+L56)</f>
        <v>#DIV/0!</v>
      </c>
      <c r="Z56" s="31" t="e">
        <f>M56/(M56+N56)</f>
        <v>#DIV/0!</v>
      </c>
      <c r="AA56" s="31" t="e">
        <f>O56/(O56+P56)</f>
        <v>#DIV/0!</v>
      </c>
      <c r="AC56">
        <f t="shared" si="0"/>
        <v>8</v>
      </c>
    </row>
    <row r="57" spans="1:29" x14ac:dyDescent="0.3">
      <c r="A57" s="8" t="s">
        <v>119</v>
      </c>
      <c r="B57" s="5" t="s">
        <v>309</v>
      </c>
      <c r="C57" s="5" t="s">
        <v>117</v>
      </c>
      <c r="D57" s="5" t="s">
        <v>471</v>
      </c>
      <c r="E57" s="5" t="s">
        <v>467</v>
      </c>
      <c r="F57" s="5" t="s">
        <v>120</v>
      </c>
      <c r="G57" s="16">
        <v>4</v>
      </c>
      <c r="H57" s="17">
        <v>6</v>
      </c>
      <c r="I57" s="17">
        <v>6</v>
      </c>
      <c r="J57" s="17">
        <v>4</v>
      </c>
      <c r="K57" s="17">
        <v>3</v>
      </c>
      <c r="L57" s="17">
        <v>6</v>
      </c>
      <c r="M57" s="17">
        <v>7</v>
      </c>
      <c r="N57" s="17">
        <v>5</v>
      </c>
      <c r="O57" s="17">
        <v>8</v>
      </c>
      <c r="P57" s="18">
        <v>6</v>
      </c>
      <c r="Q57" s="5" t="s">
        <v>107</v>
      </c>
      <c r="R57" s="5" t="s">
        <v>471</v>
      </c>
      <c r="S57" s="5" t="s">
        <v>467</v>
      </c>
      <c r="T57">
        <f>G57+I57+K57+M57+O57</f>
        <v>28</v>
      </c>
      <c r="U57">
        <f>H57+J57+L57+N57+P57</f>
        <v>27</v>
      </c>
      <c r="V57" s="31">
        <f>T57/(T57+U57)</f>
        <v>0.50909090909090904</v>
      </c>
      <c r="W57" s="31">
        <f>G57/(G57+H57)</f>
        <v>0.4</v>
      </c>
      <c r="X57" s="31">
        <f>I57/(I57+J57)</f>
        <v>0.6</v>
      </c>
      <c r="Y57" s="31">
        <f>K57/(K57+L57)</f>
        <v>0.33333333333333331</v>
      </c>
      <c r="Z57" s="31">
        <f>M57/(M57+N57)</f>
        <v>0.58333333333333337</v>
      </c>
      <c r="AA57" s="31">
        <f>O57/(O57+P57)</f>
        <v>0.5714285714285714</v>
      </c>
    </row>
    <row r="58" spans="1:29" hidden="1" x14ac:dyDescent="0.3">
      <c r="A58" s="9" t="s">
        <v>247</v>
      </c>
      <c r="B58" s="5" t="s">
        <v>444</v>
      </c>
      <c r="C58" s="7" t="s">
        <v>403</v>
      </c>
      <c r="D58" s="7" t="s">
        <v>474</v>
      </c>
      <c r="E58" s="7" t="s">
        <v>448</v>
      </c>
      <c r="F58" s="7" t="s">
        <v>377</v>
      </c>
      <c r="G58" s="13">
        <v>6</v>
      </c>
      <c r="H58" s="14">
        <v>4</v>
      </c>
      <c r="I58" s="14">
        <v>6</v>
      </c>
      <c r="J58" s="14">
        <v>1</v>
      </c>
      <c r="K58" s="14"/>
      <c r="L58" s="14"/>
      <c r="M58" s="14"/>
      <c r="N58" s="14"/>
      <c r="O58" s="14"/>
      <c r="P58" s="15"/>
      <c r="Q58" s="7" t="s">
        <v>409</v>
      </c>
      <c r="R58" s="7" t="s">
        <v>458</v>
      </c>
      <c r="S58" s="7" t="s">
        <v>456</v>
      </c>
      <c r="T58">
        <f>G58+I58+K58+M58+O58</f>
        <v>12</v>
      </c>
      <c r="U58">
        <f>H58+J58+L58+N58+P58</f>
        <v>5</v>
      </c>
      <c r="V58" s="31">
        <f>T58/(T58+U58)</f>
        <v>0.70588235294117652</v>
      </c>
      <c r="W58" s="31">
        <f>G58/(G58+H58)</f>
        <v>0.6</v>
      </c>
      <c r="X58" s="31">
        <f>I58/(I58+J58)</f>
        <v>0.8571428571428571</v>
      </c>
      <c r="Y58" s="31" t="e">
        <f>K58/(K58+L58)</f>
        <v>#DIV/0!</v>
      </c>
      <c r="Z58" s="31" t="e">
        <f>M58/(M58+N58)</f>
        <v>#DIV/0!</v>
      </c>
      <c r="AA58" s="31" t="e">
        <f>O58/(O58+P58)</f>
        <v>#DIV/0!</v>
      </c>
      <c r="AC58">
        <f t="shared" si="0"/>
        <v>7</v>
      </c>
    </row>
    <row r="59" spans="1:29" x14ac:dyDescent="0.3">
      <c r="A59" s="9" t="s">
        <v>116</v>
      </c>
      <c r="B59" s="5" t="s">
        <v>309</v>
      </c>
      <c r="C59" s="7" t="s">
        <v>107</v>
      </c>
      <c r="D59" s="7" t="s">
        <v>471</v>
      </c>
      <c r="E59" s="7" t="s">
        <v>467</v>
      </c>
      <c r="F59" s="7" t="s">
        <v>118</v>
      </c>
      <c r="G59" s="13">
        <v>5</v>
      </c>
      <c r="H59" s="14">
        <v>7</v>
      </c>
      <c r="I59" s="14">
        <v>6</v>
      </c>
      <c r="J59" s="14">
        <v>3</v>
      </c>
      <c r="K59" s="14">
        <v>7</v>
      </c>
      <c r="L59" s="14">
        <v>5</v>
      </c>
      <c r="M59" s="14">
        <v>3</v>
      </c>
      <c r="N59" s="14">
        <v>6</v>
      </c>
      <c r="O59" s="14">
        <v>6</v>
      </c>
      <c r="P59" s="15">
        <v>2</v>
      </c>
      <c r="Q59" s="7" t="s">
        <v>117</v>
      </c>
      <c r="R59" s="7" t="s">
        <v>471</v>
      </c>
      <c r="S59" s="7" t="s">
        <v>467</v>
      </c>
      <c r="T59">
        <f>G59+I59+K59+M59+O59</f>
        <v>27</v>
      </c>
      <c r="U59">
        <f>H59+J59+L59+N59+P59</f>
        <v>23</v>
      </c>
      <c r="V59" s="31">
        <f>T59/(T59+U59)</f>
        <v>0.54</v>
      </c>
      <c r="W59" s="31">
        <f>G59/(G59+H59)</f>
        <v>0.41666666666666669</v>
      </c>
      <c r="X59" s="31">
        <f>I59/(I59+J59)</f>
        <v>0.66666666666666663</v>
      </c>
      <c r="Y59" s="31">
        <f>K59/(K59+L59)</f>
        <v>0.58333333333333337</v>
      </c>
      <c r="Z59" s="31">
        <f>M59/(M59+N59)</f>
        <v>0.33333333333333331</v>
      </c>
      <c r="AA59" s="31">
        <f>O59/(O59+P59)</f>
        <v>0.75</v>
      </c>
    </row>
    <row r="60" spans="1:29" hidden="1" x14ac:dyDescent="0.3">
      <c r="A60" s="8" t="s">
        <v>245</v>
      </c>
      <c r="B60" s="5" t="s">
        <v>444</v>
      </c>
      <c r="C60" s="5" t="s">
        <v>408</v>
      </c>
      <c r="D60" s="5" t="s">
        <v>481</v>
      </c>
      <c r="E60" s="5" t="s">
        <v>459</v>
      </c>
      <c r="F60" s="5" t="s">
        <v>341</v>
      </c>
      <c r="G60" s="16">
        <v>6</v>
      </c>
      <c r="H60" s="17">
        <v>3</v>
      </c>
      <c r="I60" s="17">
        <v>6</v>
      </c>
      <c r="J60" s="17">
        <v>2</v>
      </c>
      <c r="K60" s="17"/>
      <c r="L60" s="17"/>
      <c r="M60" s="17"/>
      <c r="N60" s="17"/>
      <c r="O60" s="17"/>
      <c r="P60" s="18"/>
      <c r="Q60" s="5" t="s">
        <v>407</v>
      </c>
      <c r="R60" s="5" t="s">
        <v>470</v>
      </c>
      <c r="S60" s="5" t="s">
        <v>460</v>
      </c>
      <c r="T60">
        <f>G60+I60+K60+M60+O60</f>
        <v>12</v>
      </c>
      <c r="U60">
        <f>H60+J60+L60+N60+P60</f>
        <v>5</v>
      </c>
      <c r="V60" s="31">
        <f>T60/(T60+U60)</f>
        <v>0.70588235294117652</v>
      </c>
      <c r="W60" s="31">
        <f>G60/(G60+H60)</f>
        <v>0.66666666666666663</v>
      </c>
      <c r="X60" s="31">
        <f>I60/(I60+J60)</f>
        <v>0.75</v>
      </c>
      <c r="Y60" s="31" t="e">
        <f>K60/(K60+L60)</f>
        <v>#DIV/0!</v>
      </c>
      <c r="Z60" s="31" t="e">
        <f>M60/(M60+N60)</f>
        <v>#DIV/0!</v>
      </c>
      <c r="AA60" s="31" t="e">
        <f>O60/(O60+P60)</f>
        <v>#DIV/0!</v>
      </c>
      <c r="AC60">
        <f t="shared" si="0"/>
        <v>7</v>
      </c>
    </row>
    <row r="61" spans="1:29" x14ac:dyDescent="0.3">
      <c r="A61" s="8" t="s">
        <v>114</v>
      </c>
      <c r="B61" s="5" t="s">
        <v>309</v>
      </c>
      <c r="C61" s="5" t="s">
        <v>103</v>
      </c>
      <c r="D61" s="5" t="s">
        <v>471</v>
      </c>
      <c r="E61" s="5" t="s">
        <v>467</v>
      </c>
      <c r="F61" s="5" t="s">
        <v>115</v>
      </c>
      <c r="G61" s="16">
        <v>6</v>
      </c>
      <c r="H61" s="17">
        <v>3</v>
      </c>
      <c r="I61" s="17">
        <v>6</v>
      </c>
      <c r="J61" s="17">
        <v>1</v>
      </c>
      <c r="K61" s="17">
        <v>6</v>
      </c>
      <c r="L61" s="17">
        <v>2</v>
      </c>
      <c r="M61" s="17"/>
      <c r="N61" s="17"/>
      <c r="O61" s="17"/>
      <c r="P61" s="18"/>
      <c r="Q61" s="5" t="s">
        <v>90</v>
      </c>
      <c r="R61" s="5" t="s">
        <v>471</v>
      </c>
      <c r="S61" s="5" t="s">
        <v>467</v>
      </c>
      <c r="T61">
        <f>G61+I61+K61+M61+O61</f>
        <v>18</v>
      </c>
      <c r="U61">
        <f>H61+J61+L61+N61+P61</f>
        <v>6</v>
      </c>
      <c r="V61" s="31">
        <f>T61/(T61+U61)</f>
        <v>0.75</v>
      </c>
      <c r="W61" s="31">
        <f>G61/(G61+H61)</f>
        <v>0.66666666666666663</v>
      </c>
      <c r="X61" s="31">
        <f>I61/(I61+J61)</f>
        <v>0.8571428571428571</v>
      </c>
      <c r="Y61" s="31">
        <f>K61/(K61+L61)</f>
        <v>0.75</v>
      </c>
      <c r="Z61" s="31" t="e">
        <f>M61/(M61+N61)</f>
        <v>#DIV/0!</v>
      </c>
      <c r="AA61" s="31" t="e">
        <f>O61/(O61+P61)</f>
        <v>#DIV/0!</v>
      </c>
    </row>
    <row r="62" spans="1:29" hidden="1" x14ac:dyDescent="0.3">
      <c r="A62" s="9" t="s">
        <v>242</v>
      </c>
      <c r="B62" s="5" t="s">
        <v>444</v>
      </c>
      <c r="C62" s="7" t="s">
        <v>401</v>
      </c>
      <c r="D62" s="7" t="s">
        <v>458</v>
      </c>
      <c r="E62" s="7" t="s">
        <v>456</v>
      </c>
      <c r="F62" s="7" t="s">
        <v>368</v>
      </c>
      <c r="G62" s="13">
        <v>6</v>
      </c>
      <c r="H62" s="14">
        <v>0</v>
      </c>
      <c r="I62" s="14">
        <v>6</v>
      </c>
      <c r="J62" s="14">
        <v>2</v>
      </c>
      <c r="K62" s="14"/>
      <c r="L62" s="14"/>
      <c r="M62" s="14"/>
      <c r="N62" s="14"/>
      <c r="O62" s="14"/>
      <c r="P62" s="15"/>
      <c r="Q62" s="7" t="s">
        <v>407</v>
      </c>
      <c r="R62" s="7" t="s">
        <v>470</v>
      </c>
      <c r="S62" s="7" t="s">
        <v>460</v>
      </c>
      <c r="T62">
        <f>G62+I62+K62+M62+O62</f>
        <v>12</v>
      </c>
      <c r="U62">
        <f>H62+J62+L62+N62+P62</f>
        <v>2</v>
      </c>
      <c r="V62" s="31">
        <f>T62/(T62+U62)</f>
        <v>0.8571428571428571</v>
      </c>
      <c r="W62" s="31">
        <f>G62/(G62+H62)</f>
        <v>1</v>
      </c>
      <c r="X62" s="31">
        <f>I62/(I62+J62)</f>
        <v>0.75</v>
      </c>
      <c r="Y62" s="31" t="e">
        <f>K62/(K62+L62)</f>
        <v>#DIV/0!</v>
      </c>
      <c r="Z62" s="31" t="e">
        <f>M62/(M62+N62)</f>
        <v>#DIV/0!</v>
      </c>
      <c r="AA62" s="31" t="e">
        <f>O62/(O62+P62)</f>
        <v>#DIV/0!</v>
      </c>
      <c r="AC62">
        <f t="shared" si="0"/>
        <v>10</v>
      </c>
    </row>
    <row r="63" spans="1:29" x14ac:dyDescent="0.3">
      <c r="A63" s="9" t="s">
        <v>112</v>
      </c>
      <c r="B63" s="5" t="s">
        <v>309</v>
      </c>
      <c r="C63" s="7" t="s">
        <v>107</v>
      </c>
      <c r="D63" s="7" t="s">
        <v>471</v>
      </c>
      <c r="E63" s="7" t="s">
        <v>467</v>
      </c>
      <c r="F63" s="7" t="s">
        <v>113</v>
      </c>
      <c r="G63" s="13">
        <v>6</v>
      </c>
      <c r="H63" s="14">
        <v>4</v>
      </c>
      <c r="I63" s="14">
        <v>6</v>
      </c>
      <c r="J63" s="14">
        <v>1</v>
      </c>
      <c r="K63" s="14">
        <v>6</v>
      </c>
      <c r="L63" s="14">
        <v>3</v>
      </c>
      <c r="M63" s="14"/>
      <c r="N63" s="14"/>
      <c r="O63" s="14"/>
      <c r="P63" s="15"/>
      <c r="Q63" s="7" t="s">
        <v>103</v>
      </c>
      <c r="R63" s="7" t="s">
        <v>471</v>
      </c>
      <c r="S63" s="7" t="s">
        <v>467</v>
      </c>
      <c r="T63">
        <f>G63+I63+K63+M63+O63</f>
        <v>18</v>
      </c>
      <c r="U63">
        <f>H63+J63+L63+N63+P63</f>
        <v>8</v>
      </c>
      <c r="V63" s="31">
        <f>T63/(T63+U63)</f>
        <v>0.69230769230769229</v>
      </c>
      <c r="W63" s="31">
        <f>G63/(G63+H63)</f>
        <v>0.6</v>
      </c>
      <c r="X63" s="31">
        <f>I63/(I63+J63)</f>
        <v>0.8571428571428571</v>
      </c>
      <c r="Y63" s="31">
        <f>K63/(K63+L63)</f>
        <v>0.66666666666666663</v>
      </c>
      <c r="Z63" s="31" t="e">
        <f>M63/(M63+N63)</f>
        <v>#DIV/0!</v>
      </c>
      <c r="AA63" s="31" t="e">
        <f>O63/(O63+P63)</f>
        <v>#DIV/0!</v>
      </c>
    </row>
    <row r="64" spans="1:29" hidden="1" x14ac:dyDescent="0.3">
      <c r="A64" s="8" t="s">
        <v>240</v>
      </c>
      <c r="B64" s="5" t="s">
        <v>444</v>
      </c>
      <c r="C64" s="5" t="s">
        <v>403</v>
      </c>
      <c r="D64" s="5" t="s">
        <v>484</v>
      </c>
      <c r="E64" s="5" t="s">
        <v>447</v>
      </c>
      <c r="F64" s="5" t="s">
        <v>406</v>
      </c>
      <c r="G64" s="16">
        <v>4</v>
      </c>
      <c r="H64" s="17">
        <v>6</v>
      </c>
      <c r="I64" s="17">
        <v>6</v>
      </c>
      <c r="J64" s="17">
        <v>3</v>
      </c>
      <c r="K64" s="17">
        <v>6</v>
      </c>
      <c r="L64" s="17">
        <v>2</v>
      </c>
      <c r="M64" s="17"/>
      <c r="N64" s="17"/>
      <c r="O64" s="17"/>
      <c r="P64" s="18"/>
      <c r="Q64" s="5" t="s">
        <v>401</v>
      </c>
      <c r="R64" s="5" t="s">
        <v>458</v>
      </c>
      <c r="S64" s="5" t="s">
        <v>456</v>
      </c>
      <c r="T64">
        <f>G64+I64+K64+M64+O64</f>
        <v>16</v>
      </c>
      <c r="U64">
        <f>H64+J64+L64+N64+P64</f>
        <v>11</v>
      </c>
      <c r="V64" s="31">
        <f>T64/(T64+U64)</f>
        <v>0.59259259259259256</v>
      </c>
      <c r="W64" s="31">
        <f>G64/(G64+H64)</f>
        <v>0.4</v>
      </c>
      <c r="X64" s="31">
        <f>I64/(I64+J64)</f>
        <v>0.66666666666666663</v>
      </c>
      <c r="Y64" s="31">
        <f>K64/(K64+L64)</f>
        <v>0.75</v>
      </c>
      <c r="Z64" s="31" t="e">
        <f>M64/(M64+N64)</f>
        <v>#DIV/0!</v>
      </c>
      <c r="AA64" s="31" t="e">
        <f>O64/(O64+P64)</f>
        <v>#DIV/0!</v>
      </c>
      <c r="AC64">
        <f t="shared" si="0"/>
        <v>5</v>
      </c>
    </row>
    <row r="65" spans="1:29" x14ac:dyDescent="0.3">
      <c r="A65" s="9" t="s">
        <v>105</v>
      </c>
      <c r="B65" s="5" t="s">
        <v>309</v>
      </c>
      <c r="C65" s="7" t="s">
        <v>106</v>
      </c>
      <c r="D65" s="7" t="s">
        <v>471</v>
      </c>
      <c r="E65" s="7" t="s">
        <v>467</v>
      </c>
      <c r="F65" s="7" t="s">
        <v>108</v>
      </c>
      <c r="G65" s="13">
        <v>6</v>
      </c>
      <c r="H65" s="14">
        <v>3</v>
      </c>
      <c r="I65" s="14">
        <v>1</v>
      </c>
      <c r="J65" s="14">
        <v>6</v>
      </c>
      <c r="K65" s="14">
        <v>6</v>
      </c>
      <c r="L65" s="14">
        <v>0</v>
      </c>
      <c r="M65" s="14">
        <v>2</v>
      </c>
      <c r="N65" s="14">
        <v>6</v>
      </c>
      <c r="O65" s="14">
        <v>6</v>
      </c>
      <c r="P65" s="15">
        <v>1</v>
      </c>
      <c r="Q65" s="7" t="s">
        <v>107</v>
      </c>
      <c r="R65" s="7" t="s">
        <v>471</v>
      </c>
      <c r="S65" s="7" t="s">
        <v>467</v>
      </c>
      <c r="T65">
        <f>G65+I65+K65+M65+O65</f>
        <v>21</v>
      </c>
      <c r="U65">
        <f>H65+J65+L65+N65+P65</f>
        <v>16</v>
      </c>
      <c r="V65" s="31">
        <f>T65/(T65+U65)</f>
        <v>0.56756756756756754</v>
      </c>
      <c r="W65" s="31">
        <f>G65/(G65+H65)</f>
        <v>0.66666666666666663</v>
      </c>
      <c r="X65" s="31">
        <f>I65/(I65+J65)</f>
        <v>0.14285714285714285</v>
      </c>
      <c r="Y65" s="31">
        <f>K65/(K65+L65)</f>
        <v>1</v>
      </c>
      <c r="Z65" s="31">
        <f>M65/(M65+N65)</f>
        <v>0.25</v>
      </c>
      <c r="AA65" s="31">
        <f>O65/(O65+P65)</f>
        <v>0.8571428571428571</v>
      </c>
    </row>
    <row r="66" spans="1:29" hidden="1" x14ac:dyDescent="0.3">
      <c r="A66" s="9" t="s">
        <v>237</v>
      </c>
      <c r="B66" s="5" t="s">
        <v>444</v>
      </c>
      <c r="C66" s="7" t="s">
        <v>403</v>
      </c>
      <c r="D66" s="7" t="s">
        <v>484</v>
      </c>
      <c r="E66" s="10" t="s">
        <v>447</v>
      </c>
      <c r="F66" s="7" t="s">
        <v>354</v>
      </c>
      <c r="G66" s="13">
        <v>6</v>
      </c>
      <c r="H66" s="14">
        <v>2</v>
      </c>
      <c r="I66" s="14">
        <v>6</v>
      </c>
      <c r="J66" s="14">
        <v>3</v>
      </c>
      <c r="K66" s="14"/>
      <c r="L66" s="14"/>
      <c r="M66" s="14"/>
      <c r="N66" s="14"/>
      <c r="O66" s="14"/>
      <c r="P66" s="15"/>
      <c r="Q66" s="7" t="s">
        <v>402</v>
      </c>
      <c r="R66" s="7" t="s">
        <v>474</v>
      </c>
      <c r="S66" s="7" t="s">
        <v>448</v>
      </c>
      <c r="T66">
        <f>G66+I66+K66+M66+O66</f>
        <v>12</v>
      </c>
      <c r="U66">
        <f>H66+J66+L66+N66+P66</f>
        <v>5</v>
      </c>
      <c r="V66" s="31">
        <f>T66/(T66+U66)</f>
        <v>0.70588235294117652</v>
      </c>
      <c r="W66" s="31">
        <f>G66/(G66+H66)</f>
        <v>0.75</v>
      </c>
      <c r="X66" s="31">
        <f>I66/(I66+J66)</f>
        <v>0.66666666666666663</v>
      </c>
      <c r="Y66" s="31" t="e">
        <f>K66/(K66+L66)</f>
        <v>#DIV/0!</v>
      </c>
      <c r="Z66" s="31" t="e">
        <f>M66/(M66+N66)</f>
        <v>#DIV/0!</v>
      </c>
      <c r="AA66" s="31" t="e">
        <f>O66/(O66+P66)</f>
        <v>#DIV/0!</v>
      </c>
      <c r="AC66">
        <f t="shared" si="0"/>
        <v>7</v>
      </c>
    </row>
    <row r="67" spans="1:29" x14ac:dyDescent="0.3">
      <c r="A67" s="8" t="s">
        <v>102</v>
      </c>
      <c r="B67" s="5" t="s">
        <v>309</v>
      </c>
      <c r="C67" s="5" t="s">
        <v>103</v>
      </c>
      <c r="D67" s="5" t="s">
        <v>471</v>
      </c>
      <c r="E67" s="5" t="s">
        <v>467</v>
      </c>
      <c r="F67" s="5" t="s">
        <v>104</v>
      </c>
      <c r="G67" s="16">
        <v>6</v>
      </c>
      <c r="H67" s="17">
        <v>2</v>
      </c>
      <c r="I67" s="17">
        <v>6</v>
      </c>
      <c r="J67" s="17">
        <v>3</v>
      </c>
      <c r="K67" s="17">
        <v>4</v>
      </c>
      <c r="L67" s="17">
        <v>6</v>
      </c>
      <c r="M67" s="17">
        <v>3</v>
      </c>
      <c r="N67" s="17">
        <v>6</v>
      </c>
      <c r="O67" s="17">
        <v>9</v>
      </c>
      <c r="P67" s="18">
        <v>7</v>
      </c>
      <c r="Q67" s="5" t="s">
        <v>90</v>
      </c>
      <c r="R67" s="5" t="s">
        <v>471</v>
      </c>
      <c r="S67" s="5" t="s">
        <v>467</v>
      </c>
      <c r="T67">
        <f>G67+I67+K67+M67+O67</f>
        <v>28</v>
      </c>
      <c r="U67">
        <f>H67+J67+L67+N67+P67</f>
        <v>24</v>
      </c>
      <c r="V67" s="31">
        <f>T67/(T67+U67)</f>
        <v>0.53846153846153844</v>
      </c>
      <c r="W67" s="31">
        <f>G67/(G67+H67)</f>
        <v>0.75</v>
      </c>
      <c r="X67" s="31">
        <f>I67/(I67+J67)</f>
        <v>0.66666666666666663</v>
      </c>
      <c r="Y67" s="31">
        <f>K67/(K67+L67)</f>
        <v>0.4</v>
      </c>
      <c r="Z67" s="31">
        <f>M67/(M67+N67)</f>
        <v>0.33333333333333331</v>
      </c>
      <c r="AA67" s="31">
        <f>O67/(O67+P67)</f>
        <v>0.5625</v>
      </c>
    </row>
    <row r="68" spans="1:29" hidden="1" x14ac:dyDescent="0.3">
      <c r="A68" s="8" t="s">
        <v>234</v>
      </c>
      <c r="B68" s="5" t="s">
        <v>444</v>
      </c>
      <c r="C68" s="5" t="s">
        <v>403</v>
      </c>
      <c r="D68" s="5" t="s">
        <v>484</v>
      </c>
      <c r="E68" s="5" t="s">
        <v>447</v>
      </c>
      <c r="F68" s="5" t="s">
        <v>405</v>
      </c>
      <c r="G68" s="16">
        <v>5</v>
      </c>
      <c r="H68" s="17">
        <v>7</v>
      </c>
      <c r="I68" s="17">
        <v>6</v>
      </c>
      <c r="J68" s="17">
        <v>3</v>
      </c>
      <c r="K68" s="17">
        <v>6</v>
      </c>
      <c r="L68" s="17">
        <v>1</v>
      </c>
      <c r="M68" s="17"/>
      <c r="N68" s="17"/>
      <c r="O68" s="17"/>
      <c r="P68" s="18"/>
      <c r="Q68" s="5" t="s">
        <v>404</v>
      </c>
      <c r="R68" s="5" t="s">
        <v>485</v>
      </c>
      <c r="S68" s="5" t="s">
        <v>449</v>
      </c>
      <c r="T68">
        <f>G68+I68+K68+M68+O68</f>
        <v>17</v>
      </c>
      <c r="U68">
        <f>H68+J68+L68+N68+P68</f>
        <v>11</v>
      </c>
      <c r="V68" s="31">
        <f>T68/(T68+U68)</f>
        <v>0.6071428571428571</v>
      </c>
      <c r="W68" s="31">
        <f>G68/(G68+H68)</f>
        <v>0.41666666666666669</v>
      </c>
      <c r="X68" s="31">
        <f>I68/(I68+J68)</f>
        <v>0.66666666666666663</v>
      </c>
      <c r="Y68" s="31">
        <f>K68/(K68+L68)</f>
        <v>0.8571428571428571</v>
      </c>
      <c r="Z68" s="31" t="e">
        <f>M68/(M68+N68)</f>
        <v>#DIV/0!</v>
      </c>
      <c r="AA68" s="31" t="e">
        <f>O68/(O68+P68)</f>
        <v>#DIV/0!</v>
      </c>
      <c r="AC68">
        <f t="shared" ref="AC67:AC130" si="1">T68-U68</f>
        <v>6</v>
      </c>
    </row>
    <row r="69" spans="1:29" x14ac:dyDescent="0.3">
      <c r="A69" s="9" t="s">
        <v>100</v>
      </c>
      <c r="B69" s="5" t="s">
        <v>309</v>
      </c>
      <c r="C69" s="7" t="s">
        <v>90</v>
      </c>
      <c r="D69" s="7" t="s">
        <v>471</v>
      </c>
      <c r="E69" s="7" t="s">
        <v>467</v>
      </c>
      <c r="F69" s="7" t="s">
        <v>101</v>
      </c>
      <c r="G69" s="13">
        <v>2</v>
      </c>
      <c r="H69" s="14">
        <v>6</v>
      </c>
      <c r="I69" s="14">
        <v>6</v>
      </c>
      <c r="J69" s="14">
        <v>4</v>
      </c>
      <c r="K69" s="14">
        <v>6</v>
      </c>
      <c r="L69" s="14">
        <v>4</v>
      </c>
      <c r="M69" s="14">
        <v>6</v>
      </c>
      <c r="N69" s="14">
        <v>4</v>
      </c>
      <c r="O69" s="14"/>
      <c r="P69" s="15"/>
      <c r="Q69" s="7" t="s">
        <v>98</v>
      </c>
      <c r="R69" s="7" t="s">
        <v>464</v>
      </c>
      <c r="S69" s="7" t="s">
        <v>457</v>
      </c>
      <c r="T69">
        <f>G69+I69+K69+M69+O69</f>
        <v>20</v>
      </c>
      <c r="U69">
        <f>H69+J69+L69+N69+P69</f>
        <v>18</v>
      </c>
      <c r="V69" s="31">
        <f>T69/(T69+U69)</f>
        <v>0.52631578947368418</v>
      </c>
      <c r="W69" s="31">
        <f>G69/(G69+H69)</f>
        <v>0.25</v>
      </c>
      <c r="X69" s="31">
        <f>I69/(I69+J69)</f>
        <v>0.6</v>
      </c>
      <c r="Y69" s="31">
        <f>K69/(K69+L69)</f>
        <v>0.6</v>
      </c>
      <c r="Z69" s="31">
        <f>M69/(M69+N69)</f>
        <v>0.6</v>
      </c>
      <c r="AA69" s="31" t="e">
        <f>O69/(O69+P69)</f>
        <v>#DIV/0!</v>
      </c>
    </row>
    <row r="70" spans="1:29" hidden="1" x14ac:dyDescent="0.3">
      <c r="A70" s="9" t="s">
        <v>233</v>
      </c>
      <c r="B70" s="5" t="s">
        <v>444</v>
      </c>
      <c r="C70" s="7" t="s">
        <v>401</v>
      </c>
      <c r="D70" s="7" t="s">
        <v>458</v>
      </c>
      <c r="E70" s="7" t="s">
        <v>456</v>
      </c>
      <c r="F70" s="7" t="s">
        <v>350</v>
      </c>
      <c r="G70" s="13">
        <v>6</v>
      </c>
      <c r="H70" s="14">
        <v>3</v>
      </c>
      <c r="I70" s="14">
        <v>6</v>
      </c>
      <c r="J70" s="14">
        <v>4</v>
      </c>
      <c r="K70" s="14"/>
      <c r="L70" s="14"/>
      <c r="M70" s="14"/>
      <c r="N70" s="14"/>
      <c r="O70" s="14"/>
      <c r="P70" s="15"/>
      <c r="Q70" s="7" t="s">
        <v>402</v>
      </c>
      <c r="R70" s="7" t="s">
        <v>474</v>
      </c>
      <c r="S70" s="7" t="s">
        <v>448</v>
      </c>
      <c r="T70">
        <f>G70+I70+K70+M70+O70</f>
        <v>12</v>
      </c>
      <c r="U70">
        <f>H70+J70+L70+N70+P70</f>
        <v>7</v>
      </c>
      <c r="V70" s="31">
        <f>T70/(T70+U70)</f>
        <v>0.63157894736842102</v>
      </c>
      <c r="W70" s="31">
        <f>G70/(G70+H70)</f>
        <v>0.66666666666666663</v>
      </c>
      <c r="X70" s="31">
        <f>I70/(I70+J70)</f>
        <v>0.6</v>
      </c>
      <c r="Y70" s="31" t="e">
        <f>K70/(K70+L70)</f>
        <v>#DIV/0!</v>
      </c>
      <c r="Z70" s="31" t="e">
        <f>M70/(M70+N70)</f>
        <v>#DIV/0!</v>
      </c>
      <c r="AA70" s="31" t="e">
        <f>O70/(O70+P70)</f>
        <v>#DIV/0!</v>
      </c>
      <c r="AC70">
        <f t="shared" si="1"/>
        <v>5</v>
      </c>
    </row>
    <row r="71" spans="1:29" x14ac:dyDescent="0.3">
      <c r="A71" s="9" t="s">
        <v>94</v>
      </c>
      <c r="B71" s="5" t="s">
        <v>309</v>
      </c>
      <c r="C71" s="7" t="s">
        <v>90</v>
      </c>
      <c r="D71" s="7" t="s">
        <v>471</v>
      </c>
      <c r="E71" s="7" t="s">
        <v>467</v>
      </c>
      <c r="F71" s="7" t="s">
        <v>96</v>
      </c>
      <c r="G71" s="13">
        <v>2</v>
      </c>
      <c r="H71" s="14">
        <v>6</v>
      </c>
      <c r="I71" s="14">
        <v>7</v>
      </c>
      <c r="J71" s="14">
        <v>5</v>
      </c>
      <c r="K71" s="14">
        <v>6</v>
      </c>
      <c r="L71" s="14">
        <v>3</v>
      </c>
      <c r="M71" s="14">
        <v>6</v>
      </c>
      <c r="N71" s="14">
        <v>2</v>
      </c>
      <c r="O71" s="14"/>
      <c r="P71" s="15"/>
      <c r="Q71" s="7" t="s">
        <v>95</v>
      </c>
      <c r="R71" s="7" t="s">
        <v>474</v>
      </c>
      <c r="S71" s="7" t="s">
        <v>448</v>
      </c>
      <c r="T71">
        <f>G71+I71+K71+M71+O71</f>
        <v>21</v>
      </c>
      <c r="U71">
        <f>H71+J71+L71+N71+P71</f>
        <v>16</v>
      </c>
      <c r="V71" s="31">
        <f>T71/(T71+U71)</f>
        <v>0.56756756756756754</v>
      </c>
      <c r="W71" s="31">
        <f>G71/(G71+H71)</f>
        <v>0.25</v>
      </c>
      <c r="X71" s="31">
        <f>I71/(I71+J71)</f>
        <v>0.58333333333333337</v>
      </c>
      <c r="Y71" s="31">
        <f>K71/(K71+L71)</f>
        <v>0.66666666666666663</v>
      </c>
      <c r="Z71" s="31">
        <f>M71/(M71+N71)</f>
        <v>0.75</v>
      </c>
      <c r="AA71" s="31" t="e">
        <f>O71/(O71+P71)</f>
        <v>#DIV/0!</v>
      </c>
    </row>
    <row r="72" spans="1:29" hidden="1" x14ac:dyDescent="0.3">
      <c r="A72" s="8" t="s">
        <v>230</v>
      </c>
      <c r="B72" s="5" t="s">
        <v>444</v>
      </c>
      <c r="C72" s="5" t="s">
        <v>401</v>
      </c>
      <c r="D72" s="5" t="s">
        <v>458</v>
      </c>
      <c r="E72" s="5" t="s">
        <v>456</v>
      </c>
      <c r="F72" s="5" t="s">
        <v>336</v>
      </c>
      <c r="G72" s="16">
        <v>6</v>
      </c>
      <c r="H72" s="17">
        <v>4</v>
      </c>
      <c r="I72" s="17">
        <v>6</v>
      </c>
      <c r="J72" s="17">
        <v>4</v>
      </c>
      <c r="K72" s="17"/>
      <c r="L72" s="17"/>
      <c r="M72" s="17"/>
      <c r="N72" s="17"/>
      <c r="O72" s="17"/>
      <c r="P72" s="18"/>
      <c r="Q72" s="5" t="s">
        <v>399</v>
      </c>
      <c r="R72" s="5" t="s">
        <v>485</v>
      </c>
      <c r="S72" s="5" t="s">
        <v>449</v>
      </c>
      <c r="T72">
        <f>G72+I72+K72+M72+O72</f>
        <v>12</v>
      </c>
      <c r="U72">
        <f>H72+J72+L72+N72+P72</f>
        <v>8</v>
      </c>
      <c r="V72" s="31">
        <f>T72/(T72+U72)</f>
        <v>0.6</v>
      </c>
      <c r="W72" s="31">
        <f>G72/(G72+H72)</f>
        <v>0.6</v>
      </c>
      <c r="X72" s="31">
        <f>I72/(I72+J72)</f>
        <v>0.6</v>
      </c>
      <c r="Y72" s="31" t="e">
        <f>K72/(K72+L72)</f>
        <v>#DIV/0!</v>
      </c>
      <c r="Z72" s="31" t="e">
        <f>M72/(M72+N72)</f>
        <v>#DIV/0!</v>
      </c>
      <c r="AA72" s="31" t="e">
        <f>O72/(O72+P72)</f>
        <v>#DIV/0!</v>
      </c>
      <c r="AC72">
        <f t="shared" si="1"/>
        <v>4</v>
      </c>
    </row>
    <row r="73" spans="1:29" x14ac:dyDescent="0.3">
      <c r="A73" s="8" t="s">
        <v>92</v>
      </c>
      <c r="B73" s="5" t="s">
        <v>309</v>
      </c>
      <c r="C73" s="5" t="s">
        <v>90</v>
      </c>
      <c r="D73" s="5" t="s">
        <v>471</v>
      </c>
      <c r="E73" s="5" t="s">
        <v>467</v>
      </c>
      <c r="F73" s="5" t="s">
        <v>93</v>
      </c>
      <c r="G73" s="16">
        <v>4</v>
      </c>
      <c r="H73" s="17">
        <v>6</v>
      </c>
      <c r="I73" s="17">
        <v>6</v>
      </c>
      <c r="J73" s="17">
        <v>3</v>
      </c>
      <c r="K73" s="17">
        <v>3</v>
      </c>
      <c r="L73" s="17">
        <v>6</v>
      </c>
      <c r="M73" s="17">
        <v>6</v>
      </c>
      <c r="N73" s="17">
        <v>3</v>
      </c>
      <c r="O73" s="17">
        <v>6</v>
      </c>
      <c r="P73" s="18">
        <v>1</v>
      </c>
      <c r="Q73" s="5" t="s">
        <v>87</v>
      </c>
      <c r="R73" s="5" t="s">
        <v>471</v>
      </c>
      <c r="S73" s="5" t="s">
        <v>467</v>
      </c>
      <c r="T73">
        <f>G73+I73+K73+M73+O73</f>
        <v>25</v>
      </c>
      <c r="U73">
        <f>H73+J73+L73+N73+P73</f>
        <v>19</v>
      </c>
      <c r="V73" s="31">
        <f>T73/(T73+U73)</f>
        <v>0.56818181818181823</v>
      </c>
      <c r="W73" s="31">
        <f>G73/(G73+H73)</f>
        <v>0.4</v>
      </c>
      <c r="X73" s="31">
        <f>I73/(I73+J73)</f>
        <v>0.66666666666666663</v>
      </c>
      <c r="Y73" s="31">
        <f>K73/(K73+L73)</f>
        <v>0.33333333333333331</v>
      </c>
      <c r="Z73" s="31">
        <f>M73/(M73+N73)</f>
        <v>0.66666666666666663</v>
      </c>
      <c r="AA73" s="31">
        <f>O73/(O73+P73)</f>
        <v>0.8571428571428571</v>
      </c>
    </row>
    <row r="74" spans="1:29" hidden="1" x14ac:dyDescent="0.3">
      <c r="A74" s="9" t="s">
        <v>229</v>
      </c>
      <c r="B74" s="5" t="s">
        <v>444</v>
      </c>
      <c r="C74" s="7" t="s">
        <v>401</v>
      </c>
      <c r="D74" s="7" t="s">
        <v>458</v>
      </c>
      <c r="E74" s="7" t="s">
        <v>456</v>
      </c>
      <c r="F74" s="7" t="s">
        <v>546</v>
      </c>
      <c r="G74" s="13">
        <v>6</v>
      </c>
      <c r="H74" s="14">
        <v>1</v>
      </c>
      <c r="I74" s="14">
        <v>7</v>
      </c>
      <c r="J74" s="14">
        <v>6</v>
      </c>
      <c r="K74" s="14"/>
      <c r="L74" s="14"/>
      <c r="M74" s="14"/>
      <c r="N74" s="14"/>
      <c r="O74" s="14"/>
      <c r="P74" s="15"/>
      <c r="Q74" s="7" t="s">
        <v>382</v>
      </c>
      <c r="R74" s="7" t="s">
        <v>474</v>
      </c>
      <c r="S74" s="7" t="s">
        <v>448</v>
      </c>
      <c r="T74">
        <f>G74+I74+K74+M74+O74</f>
        <v>13</v>
      </c>
      <c r="U74">
        <f>H74+J74+L74+N74+P74</f>
        <v>7</v>
      </c>
      <c r="V74" s="31">
        <f>T74/(T74+U74)</f>
        <v>0.65</v>
      </c>
      <c r="W74" s="31">
        <f>G74/(G74+H74)</f>
        <v>0.8571428571428571</v>
      </c>
      <c r="X74" s="31">
        <f>I74/(I74+J74)</f>
        <v>0.53846153846153844</v>
      </c>
      <c r="Y74" s="31" t="e">
        <f>K74/(K74+L74)</f>
        <v>#DIV/0!</v>
      </c>
      <c r="Z74" s="31" t="e">
        <f>M74/(M74+N74)</f>
        <v>#DIV/0!</v>
      </c>
      <c r="AA74" s="31" t="e">
        <f>O74/(O74+P74)</f>
        <v>#DIV/0!</v>
      </c>
      <c r="AC74">
        <f t="shared" si="1"/>
        <v>6</v>
      </c>
    </row>
    <row r="75" spans="1:29" x14ac:dyDescent="0.3">
      <c r="A75" s="9" t="s">
        <v>89</v>
      </c>
      <c r="B75" s="5" t="s">
        <v>309</v>
      </c>
      <c r="C75" s="7" t="s">
        <v>90</v>
      </c>
      <c r="D75" s="7" t="s">
        <v>471</v>
      </c>
      <c r="E75" s="7" t="s">
        <v>467</v>
      </c>
      <c r="F75" s="7" t="s">
        <v>91</v>
      </c>
      <c r="G75" s="13">
        <v>6</v>
      </c>
      <c r="H75" s="14">
        <v>4</v>
      </c>
      <c r="I75" s="14">
        <v>6</v>
      </c>
      <c r="J75" s="14">
        <v>2</v>
      </c>
      <c r="K75" s="14">
        <v>2</v>
      </c>
      <c r="L75" s="14">
        <v>6</v>
      </c>
      <c r="M75" s="14">
        <v>6</v>
      </c>
      <c r="N75" s="14">
        <v>1</v>
      </c>
      <c r="O75" s="14"/>
      <c r="P75" s="15"/>
      <c r="Q75" s="7" t="s">
        <v>87</v>
      </c>
      <c r="R75" s="7" t="s">
        <v>471</v>
      </c>
      <c r="S75" s="7" t="s">
        <v>467</v>
      </c>
      <c r="T75">
        <f>G75+I75+K75+M75+O75</f>
        <v>20</v>
      </c>
      <c r="U75">
        <f>H75+J75+L75+N75+P75</f>
        <v>13</v>
      </c>
      <c r="V75" s="31">
        <f>T75/(T75+U75)</f>
        <v>0.60606060606060608</v>
      </c>
      <c r="W75" s="31">
        <f>G75/(G75+H75)</f>
        <v>0.6</v>
      </c>
      <c r="X75" s="31">
        <f>I75/(I75+J75)</f>
        <v>0.75</v>
      </c>
      <c r="Y75" s="31">
        <f>K75/(K75+L75)</f>
        <v>0.25</v>
      </c>
      <c r="Z75" s="31">
        <f>M75/(M75+N75)</f>
        <v>0.8571428571428571</v>
      </c>
      <c r="AA75" s="31" t="e">
        <f>O75/(O75+P75)</f>
        <v>#DIV/0!</v>
      </c>
    </row>
    <row r="76" spans="1:29" hidden="1" x14ac:dyDescent="0.3">
      <c r="A76" s="8" t="s">
        <v>227</v>
      </c>
      <c r="B76" s="5" t="s">
        <v>444</v>
      </c>
      <c r="C76" s="5" t="s">
        <v>393</v>
      </c>
      <c r="D76" s="5" t="s">
        <v>485</v>
      </c>
      <c r="E76" s="11" t="s">
        <v>449</v>
      </c>
      <c r="F76" s="5" t="s">
        <v>545</v>
      </c>
      <c r="G76" s="16">
        <v>7</v>
      </c>
      <c r="H76" s="17">
        <v>5</v>
      </c>
      <c r="I76" s="17">
        <v>7</v>
      </c>
      <c r="J76" s="17">
        <v>6</v>
      </c>
      <c r="K76" s="17"/>
      <c r="L76" s="17"/>
      <c r="M76" s="17"/>
      <c r="N76" s="17"/>
      <c r="O76" s="17"/>
      <c r="P76" s="18"/>
      <c r="Q76" s="5" t="s">
        <v>396</v>
      </c>
      <c r="R76" s="5" t="s">
        <v>474</v>
      </c>
      <c r="S76" s="5" t="s">
        <v>448</v>
      </c>
      <c r="T76">
        <f>G76+I76+K76+M76+O76</f>
        <v>14</v>
      </c>
      <c r="U76">
        <f>H76+J76+L76+N76+P76</f>
        <v>11</v>
      </c>
      <c r="V76" s="31">
        <f>T76/(T76+U76)</f>
        <v>0.56000000000000005</v>
      </c>
      <c r="W76" s="31">
        <f>G76/(G76+H76)</f>
        <v>0.58333333333333337</v>
      </c>
      <c r="X76" s="31">
        <f>I76/(I76+J76)</f>
        <v>0.53846153846153844</v>
      </c>
      <c r="Y76" s="31" t="e">
        <f>K76/(K76+L76)</f>
        <v>#DIV/0!</v>
      </c>
      <c r="Z76" s="31" t="e">
        <f>M76/(M76+N76)</f>
        <v>#DIV/0!</v>
      </c>
      <c r="AA76" s="31" t="e">
        <f>O76/(O76+P76)</f>
        <v>#DIV/0!</v>
      </c>
      <c r="AC76">
        <f t="shared" si="1"/>
        <v>3</v>
      </c>
    </row>
    <row r="77" spans="1:29" x14ac:dyDescent="0.3">
      <c r="A77" s="8" t="s">
        <v>85</v>
      </c>
      <c r="B77" s="5" t="s">
        <v>309</v>
      </c>
      <c r="C77" s="5" t="s">
        <v>86</v>
      </c>
      <c r="D77" s="5" t="s">
        <v>471</v>
      </c>
      <c r="E77" s="5" t="s">
        <v>467</v>
      </c>
      <c r="F77" s="5" t="s">
        <v>88</v>
      </c>
      <c r="G77" s="16">
        <v>6</v>
      </c>
      <c r="H77" s="17">
        <v>3</v>
      </c>
      <c r="I77" s="17">
        <v>6</v>
      </c>
      <c r="J77" s="17">
        <v>1</v>
      </c>
      <c r="K77" s="17">
        <v>6</v>
      </c>
      <c r="L77" s="17">
        <v>3</v>
      </c>
      <c r="M77" s="17"/>
      <c r="N77" s="17"/>
      <c r="O77" s="17"/>
      <c r="P77" s="18"/>
      <c r="Q77" s="5" t="s">
        <v>87</v>
      </c>
      <c r="R77" s="5" t="s">
        <v>471</v>
      </c>
      <c r="S77" s="5" t="s">
        <v>467</v>
      </c>
      <c r="T77">
        <f>G77+I77+K77+M77+O77</f>
        <v>18</v>
      </c>
      <c r="U77">
        <f>H77+J77+L77+N77+P77</f>
        <v>7</v>
      </c>
      <c r="V77" s="31">
        <f>T77/(T77+U77)</f>
        <v>0.72</v>
      </c>
      <c r="W77" s="31">
        <f>G77/(G77+H77)</f>
        <v>0.66666666666666663</v>
      </c>
      <c r="X77" s="31">
        <f>I77/(I77+J77)</f>
        <v>0.8571428571428571</v>
      </c>
      <c r="Y77" s="31">
        <f>K77/(K77+L77)</f>
        <v>0.66666666666666663</v>
      </c>
      <c r="Z77" s="31" t="e">
        <f>M77/(M77+N77)</f>
        <v>#DIV/0!</v>
      </c>
      <c r="AA77" s="31" t="e">
        <f>O77/(O77+P77)</f>
        <v>#DIV/0!</v>
      </c>
    </row>
    <row r="78" spans="1:29" hidden="1" x14ac:dyDescent="0.3">
      <c r="A78" s="8" t="s">
        <v>224</v>
      </c>
      <c r="B78" s="5" t="s">
        <v>444</v>
      </c>
      <c r="C78" s="5" t="s">
        <v>396</v>
      </c>
      <c r="D78" s="5" t="s">
        <v>474</v>
      </c>
      <c r="E78" s="11" t="s">
        <v>448</v>
      </c>
      <c r="F78" s="5" t="s">
        <v>400</v>
      </c>
      <c r="G78" s="13">
        <v>6</v>
      </c>
      <c r="H78" s="14">
        <v>2</v>
      </c>
      <c r="I78" s="14">
        <v>4</v>
      </c>
      <c r="J78" s="14">
        <v>6</v>
      </c>
      <c r="K78" s="14">
        <v>6</v>
      </c>
      <c r="L78" s="14">
        <v>2</v>
      </c>
      <c r="M78" s="14"/>
      <c r="N78" s="14"/>
      <c r="O78" s="14"/>
      <c r="P78" s="15"/>
      <c r="Q78" s="5" t="s">
        <v>382</v>
      </c>
      <c r="R78" s="5" t="s">
        <v>474</v>
      </c>
      <c r="S78" s="5" t="s">
        <v>448</v>
      </c>
      <c r="T78">
        <f>G78+I78+K78+M78+O78</f>
        <v>16</v>
      </c>
      <c r="U78">
        <f>H78+J78+L78+N78+P78</f>
        <v>10</v>
      </c>
      <c r="V78" s="31">
        <f>T78/(T78+U78)</f>
        <v>0.61538461538461542</v>
      </c>
      <c r="W78" s="31">
        <f>G78/(G78+H78)</f>
        <v>0.75</v>
      </c>
      <c r="X78" s="31">
        <f>I78/(I78+J78)</f>
        <v>0.4</v>
      </c>
      <c r="Y78" s="31">
        <f>K78/(K78+L78)</f>
        <v>0.75</v>
      </c>
      <c r="Z78" s="31" t="e">
        <f>M78/(M78+N78)</f>
        <v>#DIV/0!</v>
      </c>
      <c r="AA78" s="31" t="e">
        <f>O78/(O78+P78)</f>
        <v>#DIV/0!</v>
      </c>
      <c r="AC78">
        <f t="shared" si="1"/>
        <v>6</v>
      </c>
    </row>
    <row r="79" spans="1:29" x14ac:dyDescent="0.3">
      <c r="A79" s="9" t="s">
        <v>76</v>
      </c>
      <c r="B79" s="5" t="s">
        <v>309</v>
      </c>
      <c r="C79" s="7" t="s">
        <v>44</v>
      </c>
      <c r="D79" s="7" t="s">
        <v>471</v>
      </c>
      <c r="E79" s="7" t="s">
        <v>467</v>
      </c>
      <c r="F79" s="7" t="s">
        <v>77</v>
      </c>
      <c r="G79" s="13">
        <v>3</v>
      </c>
      <c r="H79" s="14">
        <v>6</v>
      </c>
      <c r="I79" s="14">
        <v>6</v>
      </c>
      <c r="J79" s="14">
        <v>4</v>
      </c>
      <c r="K79" s="14">
        <v>3</v>
      </c>
      <c r="L79" s="14">
        <v>6</v>
      </c>
      <c r="M79" s="14">
        <v>18</v>
      </c>
      <c r="N79" s="14">
        <v>16</v>
      </c>
      <c r="O79" s="14">
        <v>6</v>
      </c>
      <c r="P79" s="15">
        <v>3</v>
      </c>
      <c r="Q79" s="7" t="s">
        <v>73</v>
      </c>
      <c r="R79" s="7" t="s">
        <v>471</v>
      </c>
      <c r="S79" s="7" t="s">
        <v>467</v>
      </c>
      <c r="T79">
        <f>G79+I79+K79+M79+O79</f>
        <v>36</v>
      </c>
      <c r="U79">
        <f>H79+J79+L79+N79+P79</f>
        <v>35</v>
      </c>
      <c r="V79" s="31">
        <f>T79/(T79+U79)</f>
        <v>0.50704225352112675</v>
      </c>
      <c r="W79" s="31">
        <f>G79/(G79+H79)</f>
        <v>0.33333333333333331</v>
      </c>
      <c r="X79" s="31">
        <f>I79/(I79+J79)</f>
        <v>0.6</v>
      </c>
      <c r="Y79" s="31">
        <f>K79/(K79+L79)</f>
        <v>0.33333333333333331</v>
      </c>
      <c r="Z79" s="31">
        <f>M79/(M79+N79)</f>
        <v>0.52941176470588236</v>
      </c>
      <c r="AA79" s="31">
        <f>O79/(O79+P79)</f>
        <v>0.66666666666666663</v>
      </c>
    </row>
    <row r="80" spans="1:29" hidden="1" x14ac:dyDescent="0.3">
      <c r="A80" s="9" t="s">
        <v>222</v>
      </c>
      <c r="B80" s="5" t="s">
        <v>444</v>
      </c>
      <c r="C80" s="7" t="s">
        <v>382</v>
      </c>
      <c r="D80" s="7" t="s">
        <v>474</v>
      </c>
      <c r="E80" s="7" t="s">
        <v>448</v>
      </c>
      <c r="F80" s="7" t="s">
        <v>544</v>
      </c>
      <c r="G80" s="16">
        <v>6</v>
      </c>
      <c r="H80" s="17">
        <v>7</v>
      </c>
      <c r="I80" s="17">
        <v>6</v>
      </c>
      <c r="J80" s="17">
        <v>1</v>
      </c>
      <c r="K80" s="17">
        <v>6</v>
      </c>
      <c r="L80" s="17">
        <v>3</v>
      </c>
      <c r="M80" s="17"/>
      <c r="N80" s="17"/>
      <c r="O80" s="17"/>
      <c r="P80" s="18"/>
      <c r="Q80" s="7" t="s">
        <v>399</v>
      </c>
      <c r="R80" s="7" t="s">
        <v>485</v>
      </c>
      <c r="S80" s="7" t="s">
        <v>449</v>
      </c>
      <c r="T80">
        <f>G80+I80+K80+M80+O80</f>
        <v>18</v>
      </c>
      <c r="U80">
        <f>H80+J80+L80+N80+P80</f>
        <v>11</v>
      </c>
      <c r="V80" s="31">
        <f>T80/(T80+U80)</f>
        <v>0.62068965517241381</v>
      </c>
      <c r="W80" s="31">
        <f>G80/(G80+H80)</f>
        <v>0.46153846153846156</v>
      </c>
      <c r="X80" s="31">
        <f>I80/(I80+J80)</f>
        <v>0.8571428571428571</v>
      </c>
      <c r="Y80" s="31">
        <f>K80/(K80+L80)</f>
        <v>0.66666666666666663</v>
      </c>
      <c r="Z80" s="31" t="e">
        <f>M80/(M80+N80)</f>
        <v>#DIV/0!</v>
      </c>
      <c r="AA80" s="31" t="e">
        <f>O80/(O80+P80)</f>
        <v>#DIV/0!</v>
      </c>
      <c r="AC80">
        <f t="shared" si="1"/>
        <v>7</v>
      </c>
    </row>
    <row r="81" spans="1:29" x14ac:dyDescent="0.3">
      <c r="A81" s="8" t="s">
        <v>72</v>
      </c>
      <c r="B81" s="5" t="s">
        <v>309</v>
      </c>
      <c r="C81" s="5" t="s">
        <v>73</v>
      </c>
      <c r="D81" s="5" t="s">
        <v>471</v>
      </c>
      <c r="E81" s="5" t="s">
        <v>467</v>
      </c>
      <c r="F81" s="5" t="s">
        <v>75</v>
      </c>
      <c r="G81" s="16">
        <v>6</v>
      </c>
      <c r="H81" s="17">
        <v>1</v>
      </c>
      <c r="I81" s="17">
        <v>6</v>
      </c>
      <c r="J81" s="17">
        <v>3</v>
      </c>
      <c r="K81" s="17">
        <v>6</v>
      </c>
      <c r="L81" s="17">
        <v>1</v>
      </c>
      <c r="M81" s="17"/>
      <c r="N81" s="17"/>
      <c r="O81" s="17"/>
      <c r="P81" s="18"/>
      <c r="Q81" s="5" t="s">
        <v>74</v>
      </c>
      <c r="R81" s="5" t="s">
        <v>471</v>
      </c>
      <c r="S81" s="5" t="s">
        <v>467</v>
      </c>
      <c r="T81">
        <f>G81+I81+K81+M81+O81</f>
        <v>18</v>
      </c>
      <c r="U81">
        <f>H81+J81+L81+N81+P81</f>
        <v>5</v>
      </c>
      <c r="V81" s="31">
        <f>T81/(T81+U81)</f>
        <v>0.78260869565217395</v>
      </c>
      <c r="W81" s="31">
        <f>G81/(G81+H81)</f>
        <v>0.8571428571428571</v>
      </c>
      <c r="X81" s="31">
        <f>I81/(I81+J81)</f>
        <v>0.66666666666666663</v>
      </c>
      <c r="Y81" s="31">
        <f>K81/(K81+L81)</f>
        <v>0.8571428571428571</v>
      </c>
      <c r="Z81" s="31" t="e">
        <f>M81/(M81+N81)</f>
        <v>#DIV/0!</v>
      </c>
      <c r="AA81" s="31" t="e">
        <f>O81/(O81+P81)</f>
        <v>#DIV/0!</v>
      </c>
    </row>
    <row r="82" spans="1:29" hidden="1" x14ac:dyDescent="0.3">
      <c r="A82" s="8" t="s">
        <v>218</v>
      </c>
      <c r="B82" s="5" t="s">
        <v>444</v>
      </c>
      <c r="C82" s="5" t="s">
        <v>396</v>
      </c>
      <c r="D82" s="5" t="s">
        <v>474</v>
      </c>
      <c r="E82" s="11" t="s">
        <v>448</v>
      </c>
      <c r="F82" s="5" t="s">
        <v>543</v>
      </c>
      <c r="G82" s="13">
        <v>6</v>
      </c>
      <c r="H82" s="14">
        <v>2</v>
      </c>
      <c r="I82" s="14">
        <v>7</v>
      </c>
      <c r="J82" s="14">
        <v>6</v>
      </c>
      <c r="K82" s="14"/>
      <c r="L82" s="14"/>
      <c r="M82" s="14"/>
      <c r="N82" s="14"/>
      <c r="O82" s="14"/>
      <c r="P82" s="15"/>
      <c r="Q82" s="5" t="s">
        <v>398</v>
      </c>
      <c r="R82" s="5" t="s">
        <v>474</v>
      </c>
      <c r="S82" s="5" t="s">
        <v>448</v>
      </c>
      <c r="T82">
        <f>G82+I82+K82+M82+O82</f>
        <v>13</v>
      </c>
      <c r="U82">
        <f>H82+J82+L82+N82+P82</f>
        <v>8</v>
      </c>
      <c r="V82" s="31">
        <f>T82/(T82+U82)</f>
        <v>0.61904761904761907</v>
      </c>
      <c r="W82" s="31">
        <f>G82/(G82+H82)</f>
        <v>0.75</v>
      </c>
      <c r="X82" s="31">
        <f>I82/(I82+J82)</f>
        <v>0.53846153846153844</v>
      </c>
      <c r="Y82" s="31" t="e">
        <f>K82/(K82+L82)</f>
        <v>#DIV/0!</v>
      </c>
      <c r="Z82" s="31" t="e">
        <f>M82/(M82+N82)</f>
        <v>#DIV/0!</v>
      </c>
      <c r="AA82" s="31" t="e">
        <f>O82/(O82+P82)</f>
        <v>#DIV/0!</v>
      </c>
      <c r="AC82">
        <f t="shared" si="1"/>
        <v>5</v>
      </c>
    </row>
    <row r="83" spans="1:29" x14ac:dyDescent="0.3">
      <c r="A83" s="9" t="s">
        <v>70</v>
      </c>
      <c r="B83" s="5" t="s">
        <v>309</v>
      </c>
      <c r="C83" s="7" t="s">
        <v>62</v>
      </c>
      <c r="D83" s="7" t="s">
        <v>471</v>
      </c>
      <c r="E83" s="7" t="s">
        <v>467</v>
      </c>
      <c r="F83" s="7" t="s">
        <v>71</v>
      </c>
      <c r="G83" s="13">
        <v>11</v>
      </c>
      <c r="H83" s="14">
        <v>9</v>
      </c>
      <c r="I83" s="14">
        <v>2</v>
      </c>
      <c r="J83" s="14">
        <v>6</v>
      </c>
      <c r="K83" s="14">
        <v>6</v>
      </c>
      <c r="L83" s="14">
        <v>2</v>
      </c>
      <c r="M83" s="14">
        <v>6</v>
      </c>
      <c r="N83" s="14">
        <v>3</v>
      </c>
      <c r="O83" s="14"/>
      <c r="P83" s="15"/>
      <c r="Q83" s="7" t="s">
        <v>44</v>
      </c>
      <c r="R83" s="7" t="s">
        <v>471</v>
      </c>
      <c r="S83" s="7" t="s">
        <v>467</v>
      </c>
      <c r="T83">
        <f>G83+I83+K83+M83+O83</f>
        <v>25</v>
      </c>
      <c r="U83">
        <f>H83+J83+L83+N83+P83</f>
        <v>20</v>
      </c>
      <c r="V83" s="31">
        <f>T83/(T83+U83)</f>
        <v>0.55555555555555558</v>
      </c>
      <c r="W83" s="31">
        <f>G83/(G83+H83)</f>
        <v>0.55000000000000004</v>
      </c>
      <c r="X83" s="31">
        <f>I83/(I83+J83)</f>
        <v>0.25</v>
      </c>
      <c r="Y83" s="31">
        <f>K83/(K83+L83)</f>
        <v>0.75</v>
      </c>
      <c r="Z83" s="31">
        <f>M83/(M83+N83)</f>
        <v>0.66666666666666663</v>
      </c>
      <c r="AA83" s="31" t="e">
        <f>O83/(O83+P83)</f>
        <v>#DIV/0!</v>
      </c>
    </row>
    <row r="84" spans="1:29" hidden="1" x14ac:dyDescent="0.3">
      <c r="A84" s="9" t="s">
        <v>216</v>
      </c>
      <c r="B84" s="5" t="s">
        <v>444</v>
      </c>
      <c r="C84" s="7" t="s">
        <v>382</v>
      </c>
      <c r="D84" s="7" t="s">
        <v>474</v>
      </c>
      <c r="E84" s="7" t="s">
        <v>448</v>
      </c>
      <c r="F84" s="7" t="s">
        <v>397</v>
      </c>
      <c r="G84" s="16">
        <v>6</v>
      </c>
      <c r="H84" s="17">
        <v>3</v>
      </c>
      <c r="I84" s="17">
        <v>2</v>
      </c>
      <c r="J84" s="17">
        <v>6</v>
      </c>
      <c r="K84" s="17">
        <v>6</v>
      </c>
      <c r="L84" s="17">
        <v>3</v>
      </c>
      <c r="M84" s="17"/>
      <c r="N84" s="17"/>
      <c r="O84" s="17"/>
      <c r="P84" s="18"/>
      <c r="Q84" s="7" t="s">
        <v>396</v>
      </c>
      <c r="R84" s="7" t="s">
        <v>474</v>
      </c>
      <c r="S84" s="7" t="s">
        <v>448</v>
      </c>
      <c r="T84">
        <f>G84+I84+K84+M84+O84</f>
        <v>14</v>
      </c>
      <c r="U84">
        <f>H84+J84+L84+N84+P84</f>
        <v>12</v>
      </c>
      <c r="V84" s="31">
        <f>T84/(T84+U84)</f>
        <v>0.53846153846153844</v>
      </c>
      <c r="W84" s="31">
        <f>G84/(G84+H84)</f>
        <v>0.66666666666666663</v>
      </c>
      <c r="X84" s="31">
        <f>I84/(I84+J84)</f>
        <v>0.25</v>
      </c>
      <c r="Y84" s="31">
        <f>K84/(K84+L84)</f>
        <v>0.66666666666666663</v>
      </c>
      <c r="Z84" s="31" t="e">
        <f>M84/(M84+N84)</f>
        <v>#DIV/0!</v>
      </c>
      <c r="AA84" s="31" t="e">
        <f>O84/(O84+P84)</f>
        <v>#DIV/0!</v>
      </c>
      <c r="AC84">
        <f t="shared" si="1"/>
        <v>2</v>
      </c>
    </row>
    <row r="85" spans="1:29" x14ac:dyDescent="0.3">
      <c r="A85" s="8" t="s">
        <v>67</v>
      </c>
      <c r="B85" s="5" t="s">
        <v>309</v>
      </c>
      <c r="C85" s="5" t="s">
        <v>62</v>
      </c>
      <c r="D85" s="5" t="s">
        <v>471</v>
      </c>
      <c r="E85" s="5" t="s">
        <v>467</v>
      </c>
      <c r="F85" s="5" t="s">
        <v>69</v>
      </c>
      <c r="G85" s="16">
        <v>6</v>
      </c>
      <c r="H85" s="17">
        <v>3</v>
      </c>
      <c r="I85" s="17">
        <v>6</v>
      </c>
      <c r="J85" s="17">
        <v>4</v>
      </c>
      <c r="K85" s="17">
        <v>3</v>
      </c>
      <c r="L85" s="17">
        <v>6</v>
      </c>
      <c r="M85" s="17">
        <v>5</v>
      </c>
      <c r="N85" s="17">
        <v>7</v>
      </c>
      <c r="O85" s="17">
        <v>6</v>
      </c>
      <c r="P85" s="18">
        <v>3</v>
      </c>
      <c r="Q85" s="5" t="s">
        <v>68</v>
      </c>
      <c r="R85" s="5" t="s">
        <v>471</v>
      </c>
      <c r="S85" s="5" t="s">
        <v>467</v>
      </c>
      <c r="T85">
        <f>G85+I85+K85+M85+O85</f>
        <v>26</v>
      </c>
      <c r="U85">
        <f>H85+J85+L85+N85+P85</f>
        <v>23</v>
      </c>
      <c r="V85" s="31">
        <f>T85/(T85+U85)</f>
        <v>0.53061224489795922</v>
      </c>
      <c r="W85" s="31">
        <f>G85/(G85+H85)</f>
        <v>0.66666666666666663</v>
      </c>
      <c r="X85" s="31">
        <f>I85/(I85+J85)</f>
        <v>0.6</v>
      </c>
      <c r="Y85" s="31">
        <f>K85/(K85+L85)</f>
        <v>0.33333333333333331</v>
      </c>
      <c r="Z85" s="31">
        <f>M85/(M85+N85)</f>
        <v>0.41666666666666669</v>
      </c>
      <c r="AA85" s="31">
        <f>O85/(O85+P85)</f>
        <v>0.66666666666666663</v>
      </c>
    </row>
    <row r="86" spans="1:29" hidden="1" x14ac:dyDescent="0.3">
      <c r="A86" s="8" t="s">
        <v>213</v>
      </c>
      <c r="B86" s="5" t="s">
        <v>444</v>
      </c>
      <c r="C86" s="5" t="s">
        <v>396</v>
      </c>
      <c r="D86" s="5" t="s">
        <v>474</v>
      </c>
      <c r="E86" s="11" t="s">
        <v>448</v>
      </c>
      <c r="F86" s="5" t="s">
        <v>542</v>
      </c>
      <c r="G86" s="13">
        <v>6</v>
      </c>
      <c r="H86" s="14">
        <v>7</v>
      </c>
      <c r="I86" s="14">
        <v>6</v>
      </c>
      <c r="J86" s="14">
        <v>4</v>
      </c>
      <c r="K86" s="14">
        <v>7</v>
      </c>
      <c r="L86" s="14">
        <v>5</v>
      </c>
      <c r="M86" s="14"/>
      <c r="N86" s="14"/>
      <c r="O86" s="14"/>
      <c r="P86" s="15"/>
      <c r="Q86" s="5" t="s">
        <v>382</v>
      </c>
      <c r="R86" s="5" t="s">
        <v>474</v>
      </c>
      <c r="S86" s="5" t="s">
        <v>448</v>
      </c>
      <c r="T86">
        <f>G86+I86+K86+M86+O86</f>
        <v>19</v>
      </c>
      <c r="U86">
        <f>H86+J86+L86+N86+P86</f>
        <v>16</v>
      </c>
      <c r="V86" s="31">
        <f>T86/(T86+U86)</f>
        <v>0.54285714285714282</v>
      </c>
      <c r="W86" s="31">
        <f>G86/(G86+H86)</f>
        <v>0.46153846153846156</v>
      </c>
      <c r="X86" s="31">
        <f>I86/(I86+J86)</f>
        <v>0.6</v>
      </c>
      <c r="Y86" s="31">
        <f>K86/(K86+L86)</f>
        <v>0.58333333333333337</v>
      </c>
      <c r="Z86" s="31" t="e">
        <f>M86/(M86+N86)</f>
        <v>#DIV/0!</v>
      </c>
      <c r="AA86" s="31" t="e">
        <f>O86/(O86+P86)</f>
        <v>#DIV/0!</v>
      </c>
      <c r="AC86">
        <f t="shared" si="1"/>
        <v>3</v>
      </c>
    </row>
    <row r="87" spans="1:29" x14ac:dyDescent="0.3">
      <c r="A87" s="9" t="s">
        <v>64</v>
      </c>
      <c r="B87" s="5" t="s">
        <v>309</v>
      </c>
      <c r="C87" s="7" t="s">
        <v>54</v>
      </c>
      <c r="D87" s="7" t="s">
        <v>471</v>
      </c>
      <c r="E87" s="7" t="s">
        <v>467</v>
      </c>
      <c r="F87" s="7" t="s">
        <v>66</v>
      </c>
      <c r="G87" s="13">
        <v>6</v>
      </c>
      <c r="H87" s="14">
        <v>1</v>
      </c>
      <c r="I87" s="14">
        <v>6</v>
      </c>
      <c r="J87" s="14">
        <v>1</v>
      </c>
      <c r="K87" s="14">
        <v>6</v>
      </c>
      <c r="L87" s="14">
        <v>3</v>
      </c>
      <c r="M87" s="14"/>
      <c r="N87" s="14"/>
      <c r="O87" s="14"/>
      <c r="P87" s="15"/>
      <c r="Q87" s="7" t="s">
        <v>65</v>
      </c>
      <c r="R87" s="7" t="s">
        <v>471</v>
      </c>
      <c r="S87" s="7" t="s">
        <v>467</v>
      </c>
      <c r="T87">
        <f>G87+I87+K87+M87+O87</f>
        <v>18</v>
      </c>
      <c r="U87">
        <f>H87+J87+L87+N87+P87</f>
        <v>5</v>
      </c>
      <c r="V87" s="31">
        <f>T87/(T87+U87)</f>
        <v>0.78260869565217395</v>
      </c>
      <c r="W87" s="31">
        <f>G87/(G87+H87)</f>
        <v>0.8571428571428571</v>
      </c>
      <c r="X87" s="31">
        <f>I87/(I87+J87)</f>
        <v>0.8571428571428571</v>
      </c>
      <c r="Y87" s="31">
        <f>K87/(K87+L87)</f>
        <v>0.66666666666666663</v>
      </c>
      <c r="Z87" s="31" t="e">
        <f>M87/(M87+N87)</f>
        <v>#DIV/0!</v>
      </c>
      <c r="AA87" s="31" t="e">
        <f>O87/(O87+P87)</f>
        <v>#DIV/0!</v>
      </c>
    </row>
    <row r="88" spans="1:29" hidden="1" x14ac:dyDescent="0.3">
      <c r="A88" s="9" t="s">
        <v>210</v>
      </c>
      <c r="B88" s="5" t="s">
        <v>444</v>
      </c>
      <c r="C88" s="7" t="s">
        <v>393</v>
      </c>
      <c r="D88" s="7" t="s">
        <v>485</v>
      </c>
      <c r="E88" s="7" t="s">
        <v>449</v>
      </c>
      <c r="F88" s="7" t="s">
        <v>395</v>
      </c>
      <c r="G88" s="16">
        <v>6</v>
      </c>
      <c r="H88" s="17">
        <v>0</v>
      </c>
      <c r="I88" s="17">
        <v>7</v>
      </c>
      <c r="J88" s="17">
        <v>5</v>
      </c>
      <c r="K88" s="17"/>
      <c r="L88" s="17"/>
      <c r="M88" s="17"/>
      <c r="N88" s="17"/>
      <c r="O88" s="17"/>
      <c r="P88" s="18"/>
      <c r="Q88" s="7" t="s">
        <v>394</v>
      </c>
      <c r="R88" s="7" t="s">
        <v>471</v>
      </c>
      <c r="S88" s="7" t="s">
        <v>467</v>
      </c>
      <c r="T88">
        <f>G88+I88+K88+M88+O88</f>
        <v>13</v>
      </c>
      <c r="U88">
        <f>H88+J88+L88+N88+P88</f>
        <v>5</v>
      </c>
      <c r="V88" s="31">
        <f>T88/(T88+U88)</f>
        <v>0.72222222222222221</v>
      </c>
      <c r="W88" s="31">
        <f>G88/(G88+H88)</f>
        <v>1</v>
      </c>
      <c r="X88" s="31">
        <f>I88/(I88+J88)</f>
        <v>0.58333333333333337</v>
      </c>
      <c r="Y88" s="31" t="e">
        <f>K88/(K88+L88)</f>
        <v>#DIV/0!</v>
      </c>
      <c r="Z88" s="31" t="e">
        <f>M88/(M88+N88)</f>
        <v>#DIV/0!</v>
      </c>
      <c r="AA88" s="31" t="e">
        <f>O88/(O88+P88)</f>
        <v>#DIV/0!</v>
      </c>
      <c r="AC88">
        <f t="shared" si="1"/>
        <v>8</v>
      </c>
    </row>
    <row r="89" spans="1:29" x14ac:dyDescent="0.3">
      <c r="A89" s="8" t="s">
        <v>61</v>
      </c>
      <c r="B89" s="5" t="s">
        <v>309</v>
      </c>
      <c r="C89" s="5" t="s">
        <v>62</v>
      </c>
      <c r="D89" s="5" t="s">
        <v>471</v>
      </c>
      <c r="E89" s="5" t="s">
        <v>467</v>
      </c>
      <c r="F89" s="5" t="s">
        <v>63</v>
      </c>
      <c r="G89" s="16">
        <v>6</v>
      </c>
      <c r="H89" s="17">
        <v>0</v>
      </c>
      <c r="I89" s="17">
        <v>3</v>
      </c>
      <c r="J89" s="17">
        <v>6</v>
      </c>
      <c r="K89" s="17">
        <v>3</v>
      </c>
      <c r="L89" s="17">
        <v>6</v>
      </c>
      <c r="M89" s="17">
        <v>6</v>
      </c>
      <c r="N89" s="17">
        <v>3</v>
      </c>
      <c r="O89" s="17">
        <v>6</v>
      </c>
      <c r="P89" s="18">
        <v>2</v>
      </c>
      <c r="Q89" s="5" t="s">
        <v>44</v>
      </c>
      <c r="R89" s="5" t="s">
        <v>471</v>
      </c>
      <c r="S89" s="5" t="s">
        <v>467</v>
      </c>
      <c r="T89">
        <f>G89+I89+K89+M89+O89</f>
        <v>24</v>
      </c>
      <c r="U89">
        <f>H89+J89+L89+N89+P89</f>
        <v>17</v>
      </c>
      <c r="V89" s="31">
        <f>T89/(T89+U89)</f>
        <v>0.58536585365853655</v>
      </c>
      <c r="W89" s="31">
        <f>G89/(G89+H89)</f>
        <v>1</v>
      </c>
      <c r="X89" s="31">
        <f>I89/(I89+J89)</f>
        <v>0.33333333333333331</v>
      </c>
      <c r="Y89" s="31">
        <f>K89/(K89+L89)</f>
        <v>0.33333333333333331</v>
      </c>
      <c r="Z89" s="31">
        <f>M89/(M89+N89)</f>
        <v>0.66666666666666663</v>
      </c>
      <c r="AA89" s="31">
        <f>O89/(O89+P89)</f>
        <v>0.75</v>
      </c>
    </row>
    <row r="90" spans="1:29" hidden="1" x14ac:dyDescent="0.3">
      <c r="A90" s="8" t="s">
        <v>208</v>
      </c>
      <c r="B90" s="5" t="s">
        <v>444</v>
      </c>
      <c r="C90" s="5" t="s">
        <v>390</v>
      </c>
      <c r="D90" s="5" t="s">
        <v>474</v>
      </c>
      <c r="E90" s="11" t="s">
        <v>448</v>
      </c>
      <c r="F90" s="5" t="s">
        <v>392</v>
      </c>
      <c r="G90" s="13">
        <v>6</v>
      </c>
      <c r="H90" s="14">
        <v>3</v>
      </c>
      <c r="I90" s="14">
        <v>6</v>
      </c>
      <c r="J90" s="14">
        <v>3</v>
      </c>
      <c r="K90" s="14"/>
      <c r="L90" s="14"/>
      <c r="M90" s="14"/>
      <c r="N90" s="14"/>
      <c r="O90" s="14"/>
      <c r="P90" s="15"/>
      <c r="Q90" s="5" t="s">
        <v>391</v>
      </c>
      <c r="R90" s="5" t="s">
        <v>474</v>
      </c>
      <c r="S90" s="5" t="s">
        <v>448</v>
      </c>
      <c r="T90">
        <f>G90+I90+K90+M90+O90</f>
        <v>12</v>
      </c>
      <c r="U90">
        <f>H90+J90+L90+N90+P90</f>
        <v>6</v>
      </c>
      <c r="V90" s="31">
        <f>T90/(T90+U90)</f>
        <v>0.66666666666666663</v>
      </c>
      <c r="W90" s="31">
        <f>G90/(G90+H90)</f>
        <v>0.66666666666666663</v>
      </c>
      <c r="X90" s="31">
        <f>I90/(I90+J90)</f>
        <v>0.66666666666666663</v>
      </c>
      <c r="Y90" s="31" t="e">
        <f>K90/(K90+L90)</f>
        <v>#DIV/0!</v>
      </c>
      <c r="Z90" s="31" t="e">
        <f>M90/(M90+N90)</f>
        <v>#DIV/0!</v>
      </c>
      <c r="AA90" s="31" t="e">
        <f>O90/(O90+P90)</f>
        <v>#DIV/0!</v>
      </c>
      <c r="AC90">
        <f t="shared" si="1"/>
        <v>6</v>
      </c>
    </row>
    <row r="91" spans="1:29" x14ac:dyDescent="0.3">
      <c r="A91" s="9" t="s">
        <v>57</v>
      </c>
      <c r="B91" s="5" t="s">
        <v>309</v>
      </c>
      <c r="C91" s="7" t="s">
        <v>58</v>
      </c>
      <c r="D91" s="7" t="s">
        <v>471</v>
      </c>
      <c r="E91" s="7" t="s">
        <v>467</v>
      </c>
      <c r="F91" s="7" t="s">
        <v>60</v>
      </c>
      <c r="G91" s="13">
        <v>7</v>
      </c>
      <c r="H91" s="14">
        <v>5</v>
      </c>
      <c r="I91" s="14">
        <v>6</v>
      </c>
      <c r="J91" s="14">
        <v>1</v>
      </c>
      <c r="K91" s="14">
        <v>6</v>
      </c>
      <c r="L91" s="14">
        <v>4</v>
      </c>
      <c r="M91" s="14"/>
      <c r="N91" s="14"/>
      <c r="O91" s="14"/>
      <c r="P91" s="15"/>
      <c r="Q91" s="7" t="s">
        <v>59</v>
      </c>
      <c r="R91" s="7" t="s">
        <v>471</v>
      </c>
      <c r="S91" s="7" t="s">
        <v>467</v>
      </c>
      <c r="T91">
        <f>G91+I91+K91+M91+O91</f>
        <v>19</v>
      </c>
      <c r="U91">
        <f>H91+J91+L91+N91+P91</f>
        <v>10</v>
      </c>
      <c r="V91" s="31">
        <f>T91/(T91+U91)</f>
        <v>0.65517241379310343</v>
      </c>
      <c r="W91" s="31">
        <f>G91/(G91+H91)</f>
        <v>0.58333333333333337</v>
      </c>
      <c r="X91" s="31">
        <f>I91/(I91+J91)</f>
        <v>0.8571428571428571</v>
      </c>
      <c r="Y91" s="31">
        <f>K91/(K91+L91)</f>
        <v>0.6</v>
      </c>
      <c r="Z91" s="31" t="e">
        <f>M91/(M91+N91)</f>
        <v>#DIV/0!</v>
      </c>
      <c r="AA91" s="31" t="e">
        <f>O91/(O91+P91)</f>
        <v>#DIV/0!</v>
      </c>
    </row>
    <row r="92" spans="1:29" hidden="1" x14ac:dyDescent="0.3">
      <c r="A92" s="9" t="s">
        <v>205</v>
      </c>
      <c r="B92" s="5" t="s">
        <v>444</v>
      </c>
      <c r="C92" s="7" t="s">
        <v>388</v>
      </c>
      <c r="D92" s="7" t="s">
        <v>471</v>
      </c>
      <c r="E92" s="7" t="s">
        <v>467</v>
      </c>
      <c r="F92" s="7" t="s">
        <v>541</v>
      </c>
      <c r="G92" s="16">
        <v>6</v>
      </c>
      <c r="H92" s="17">
        <v>3</v>
      </c>
      <c r="I92" s="17">
        <v>7</v>
      </c>
      <c r="J92" s="17">
        <v>6</v>
      </c>
      <c r="K92" s="17"/>
      <c r="L92" s="17"/>
      <c r="M92" s="17"/>
      <c r="N92" s="17"/>
      <c r="O92" s="17"/>
      <c r="P92" s="18"/>
      <c r="Q92" s="7" t="s">
        <v>389</v>
      </c>
      <c r="R92" s="7" t="s">
        <v>474</v>
      </c>
      <c r="S92" s="7" t="s">
        <v>448</v>
      </c>
      <c r="T92">
        <f>G92+I92+K92+M92+O92</f>
        <v>13</v>
      </c>
      <c r="U92">
        <f>H92+J92+L92+N92+P92</f>
        <v>9</v>
      </c>
      <c r="V92" s="31">
        <f>T92/(T92+U92)</f>
        <v>0.59090909090909094</v>
      </c>
      <c r="W92" s="31">
        <f>G92/(G92+H92)</f>
        <v>0.66666666666666663</v>
      </c>
      <c r="X92" s="31">
        <f>I92/(I92+J92)</f>
        <v>0.53846153846153844</v>
      </c>
      <c r="Y92" s="31" t="e">
        <f>K92/(K92+L92)</f>
        <v>#DIV/0!</v>
      </c>
      <c r="Z92" s="31" t="e">
        <f>M92/(M92+N92)</f>
        <v>#DIV/0!</v>
      </c>
      <c r="AA92" s="31" t="e">
        <f>O92/(O92+P92)</f>
        <v>#DIV/0!</v>
      </c>
      <c r="AC92">
        <f t="shared" si="1"/>
        <v>4</v>
      </c>
    </row>
    <row r="93" spans="1:29" x14ac:dyDescent="0.3">
      <c r="A93" s="8" t="s">
        <v>53</v>
      </c>
      <c r="B93" s="5" t="s">
        <v>309</v>
      </c>
      <c r="C93" s="5" t="s">
        <v>54</v>
      </c>
      <c r="D93" s="5" t="s">
        <v>471</v>
      </c>
      <c r="E93" s="5" t="s">
        <v>467</v>
      </c>
      <c r="F93" s="5" t="s">
        <v>56</v>
      </c>
      <c r="G93" s="16">
        <v>6</v>
      </c>
      <c r="H93" s="17">
        <v>3</v>
      </c>
      <c r="I93" s="17">
        <v>4</v>
      </c>
      <c r="J93" s="17">
        <v>6</v>
      </c>
      <c r="K93" s="17">
        <v>6</v>
      </c>
      <c r="L93" s="17">
        <v>8</v>
      </c>
      <c r="M93" s="17">
        <v>6</v>
      </c>
      <c r="N93" s="17">
        <v>1</v>
      </c>
      <c r="O93" s="17">
        <v>6</v>
      </c>
      <c r="P93" s="18">
        <v>3</v>
      </c>
      <c r="Q93" s="5" t="s">
        <v>55</v>
      </c>
      <c r="R93" s="5" t="s">
        <v>471</v>
      </c>
      <c r="S93" s="5" t="s">
        <v>467</v>
      </c>
      <c r="T93">
        <f>G93+I93+K93+M93+O93</f>
        <v>28</v>
      </c>
      <c r="U93">
        <f>H93+J93+L93+N93+P93</f>
        <v>21</v>
      </c>
      <c r="V93" s="31">
        <f>T93/(T93+U93)</f>
        <v>0.5714285714285714</v>
      </c>
      <c r="W93" s="31">
        <f>G93/(G93+H93)</f>
        <v>0.66666666666666663</v>
      </c>
      <c r="X93" s="31">
        <f>I93/(I93+J93)</f>
        <v>0.4</v>
      </c>
      <c r="Y93" s="31">
        <f>K93/(K93+L93)</f>
        <v>0.42857142857142855</v>
      </c>
      <c r="Z93" s="31">
        <f>M93/(M93+N93)</f>
        <v>0.8571428571428571</v>
      </c>
      <c r="AA93" s="31">
        <f>O93/(O93+P93)</f>
        <v>0.66666666666666663</v>
      </c>
    </row>
    <row r="94" spans="1:29" hidden="1" x14ac:dyDescent="0.3">
      <c r="A94" s="8" t="s">
        <v>445</v>
      </c>
      <c r="B94" s="5" t="s">
        <v>444</v>
      </c>
      <c r="C94" s="5" t="s">
        <v>379</v>
      </c>
      <c r="D94" s="5" t="s">
        <v>471</v>
      </c>
      <c r="E94" s="5" t="s">
        <v>467</v>
      </c>
      <c r="F94" s="5" t="s">
        <v>387</v>
      </c>
      <c r="G94" s="13">
        <v>6</v>
      </c>
      <c r="H94" s="14">
        <v>3</v>
      </c>
      <c r="I94" s="14">
        <v>6</v>
      </c>
      <c r="J94" s="14">
        <v>0</v>
      </c>
      <c r="K94" s="14"/>
      <c r="L94" s="14"/>
      <c r="M94" s="14"/>
      <c r="N94" s="14"/>
      <c r="O94" s="14"/>
      <c r="P94" s="15"/>
      <c r="Q94" s="5" t="s">
        <v>386</v>
      </c>
      <c r="R94" s="5" t="s">
        <v>471</v>
      </c>
      <c r="S94" s="5" t="s">
        <v>467</v>
      </c>
      <c r="T94">
        <f>G94+I94+K94+M94+O94</f>
        <v>12</v>
      </c>
      <c r="U94">
        <f>H94+J94+L94+N94+P94</f>
        <v>3</v>
      </c>
      <c r="V94" s="31">
        <f>T94/(T94+U94)</f>
        <v>0.8</v>
      </c>
      <c r="W94" s="31">
        <f>G94/(G94+H94)</f>
        <v>0.66666666666666663</v>
      </c>
      <c r="X94" s="31">
        <f>I94/(I94+J94)</f>
        <v>1</v>
      </c>
      <c r="Y94" s="31" t="e">
        <f>K94/(K94+L94)</f>
        <v>#DIV/0!</v>
      </c>
      <c r="Z94" s="31" t="e">
        <f>M94/(M94+N94)</f>
        <v>#DIV/0!</v>
      </c>
      <c r="AA94" s="31" t="e">
        <f>O94/(O94+P94)</f>
        <v>#DIV/0!</v>
      </c>
      <c r="AC94">
        <f t="shared" si="1"/>
        <v>9</v>
      </c>
    </row>
    <row r="95" spans="1:29" x14ac:dyDescent="0.3">
      <c r="A95" s="9" t="s">
        <v>42</v>
      </c>
      <c r="B95" s="5" t="s">
        <v>309</v>
      </c>
      <c r="C95" s="7" t="s">
        <v>43</v>
      </c>
      <c r="D95" s="7" t="s">
        <v>471</v>
      </c>
      <c r="E95" s="7" t="s">
        <v>467</v>
      </c>
      <c r="F95" s="7" t="s">
        <v>45</v>
      </c>
      <c r="G95" s="13">
        <v>6</v>
      </c>
      <c r="H95" s="14">
        <v>4</v>
      </c>
      <c r="I95" s="14">
        <v>6</v>
      </c>
      <c r="J95" s="14">
        <v>3</v>
      </c>
      <c r="K95" s="14">
        <v>5</v>
      </c>
      <c r="L95" s="14">
        <v>7</v>
      </c>
      <c r="M95" s="14">
        <v>6</v>
      </c>
      <c r="N95" s="14">
        <v>1</v>
      </c>
      <c r="O95" s="14"/>
      <c r="P95" s="15"/>
      <c r="Q95" s="7" t="s">
        <v>44</v>
      </c>
      <c r="R95" s="7" t="s">
        <v>471</v>
      </c>
      <c r="S95" s="7" t="s">
        <v>467</v>
      </c>
      <c r="T95">
        <f>G95+I95+K95+M95+O95</f>
        <v>23</v>
      </c>
      <c r="U95">
        <f>H95+J95+L95+N95+P95</f>
        <v>15</v>
      </c>
      <c r="V95" s="31">
        <f>T95/(T95+U95)</f>
        <v>0.60526315789473684</v>
      </c>
      <c r="W95" s="31">
        <f>G95/(G95+H95)</f>
        <v>0.6</v>
      </c>
      <c r="X95" s="31">
        <f>I95/(I95+J95)</f>
        <v>0.66666666666666663</v>
      </c>
      <c r="Y95" s="31">
        <f>K95/(K95+L95)</f>
        <v>0.41666666666666669</v>
      </c>
      <c r="Z95" s="31">
        <f>M95/(M95+N95)</f>
        <v>0.8571428571428571</v>
      </c>
      <c r="AA95" s="31" t="e">
        <f>O95/(O95+P95)</f>
        <v>#DIV/0!</v>
      </c>
    </row>
    <row r="96" spans="1:29" hidden="1" x14ac:dyDescent="0.3">
      <c r="A96" s="9" t="s">
        <v>446</v>
      </c>
      <c r="B96" s="5" t="s">
        <v>444</v>
      </c>
      <c r="C96" s="7" t="s">
        <v>384</v>
      </c>
      <c r="D96" s="7" t="s">
        <v>471</v>
      </c>
      <c r="E96" s="7" t="s">
        <v>467</v>
      </c>
      <c r="F96" s="7" t="s">
        <v>320</v>
      </c>
      <c r="G96" s="16">
        <v>7</v>
      </c>
      <c r="H96" s="17">
        <v>5</v>
      </c>
      <c r="I96" s="17">
        <v>6</v>
      </c>
      <c r="J96" s="17">
        <v>2</v>
      </c>
      <c r="K96" s="17"/>
      <c r="L96" s="17"/>
      <c r="M96" s="17"/>
      <c r="N96" s="17"/>
      <c r="O96" s="17"/>
      <c r="P96" s="18"/>
      <c r="Q96" s="7" t="s">
        <v>385</v>
      </c>
      <c r="R96" s="7" t="s">
        <v>471</v>
      </c>
      <c r="S96" s="7" t="s">
        <v>467</v>
      </c>
      <c r="T96">
        <f>G96+I96+K96+M96+O96</f>
        <v>13</v>
      </c>
      <c r="U96">
        <f>H96+J96+L96+N96+P96</f>
        <v>7</v>
      </c>
      <c r="V96" s="31">
        <f>T96/(T96+U96)</f>
        <v>0.65</v>
      </c>
      <c r="W96" s="31">
        <f>G96/(G96+H96)</f>
        <v>0.58333333333333337</v>
      </c>
      <c r="X96" s="31">
        <f>I96/(I96+J96)</f>
        <v>0.75</v>
      </c>
      <c r="Y96" s="31" t="e">
        <f>K96/(K96+L96)</f>
        <v>#DIV/0!</v>
      </c>
      <c r="Z96" s="31" t="e">
        <f>M96/(M96+N96)</f>
        <v>#DIV/0!</v>
      </c>
      <c r="AA96" s="31" t="e">
        <f>O96/(O96+P96)</f>
        <v>#DIV/0!</v>
      </c>
      <c r="AC96">
        <f t="shared" si="1"/>
        <v>6</v>
      </c>
    </row>
    <row r="97" spans="1:29" x14ac:dyDescent="0.3">
      <c r="A97" s="8" t="s">
        <v>40</v>
      </c>
      <c r="B97" s="5" t="s">
        <v>309</v>
      </c>
      <c r="C97" s="5" t="s">
        <v>29</v>
      </c>
      <c r="D97" s="5" t="s">
        <v>471</v>
      </c>
      <c r="E97" s="5" t="s">
        <v>467</v>
      </c>
      <c r="F97" s="5" t="s">
        <v>41</v>
      </c>
      <c r="G97" s="16">
        <v>2</v>
      </c>
      <c r="H97" s="17">
        <v>6</v>
      </c>
      <c r="I97" s="17">
        <v>6</v>
      </c>
      <c r="J97" s="17">
        <v>1</v>
      </c>
      <c r="K97" s="17">
        <v>6</v>
      </c>
      <c r="L97" s="17">
        <v>3</v>
      </c>
      <c r="M97" s="17">
        <v>6</v>
      </c>
      <c r="N97" s="17">
        <v>2</v>
      </c>
      <c r="O97" s="17"/>
      <c r="P97" s="18"/>
      <c r="Q97" s="5" t="s">
        <v>22</v>
      </c>
      <c r="R97" s="5" t="s">
        <v>488</v>
      </c>
      <c r="S97" s="5" t="s">
        <v>454</v>
      </c>
      <c r="T97">
        <f>G97+I97+K97+M97+O97</f>
        <v>20</v>
      </c>
      <c r="U97">
        <f>H97+J97+L97+N97+P97</f>
        <v>12</v>
      </c>
      <c r="V97" s="31">
        <f>T97/(T97+U97)</f>
        <v>0.625</v>
      </c>
      <c r="W97" s="31">
        <f>G97/(G97+H97)</f>
        <v>0.25</v>
      </c>
      <c r="X97" s="31">
        <f>I97/(I97+J97)</f>
        <v>0.8571428571428571</v>
      </c>
      <c r="Y97" s="31">
        <f>K97/(K97+L97)</f>
        <v>0.66666666666666663</v>
      </c>
      <c r="Z97" s="31">
        <f>M97/(M97+N97)</f>
        <v>0.75</v>
      </c>
      <c r="AA97" s="31" t="e">
        <f>O97/(O97+P97)</f>
        <v>#DIV/0!</v>
      </c>
    </row>
    <row r="98" spans="1:29" hidden="1" x14ac:dyDescent="0.3">
      <c r="A98" s="8" t="s">
        <v>197</v>
      </c>
      <c r="B98" s="5" t="s">
        <v>444</v>
      </c>
      <c r="C98" s="5" t="s">
        <v>379</v>
      </c>
      <c r="D98" s="5" t="s">
        <v>471</v>
      </c>
      <c r="E98" s="5" t="s">
        <v>467</v>
      </c>
      <c r="F98" s="5" t="s">
        <v>369</v>
      </c>
      <c r="G98" s="13">
        <v>6</v>
      </c>
      <c r="H98" s="14">
        <v>2</v>
      </c>
      <c r="I98" s="14">
        <v>6</v>
      </c>
      <c r="J98" s="14">
        <v>2</v>
      </c>
      <c r="K98" s="14"/>
      <c r="L98" s="14"/>
      <c r="M98" s="14"/>
      <c r="N98" s="14"/>
      <c r="O98" s="14"/>
      <c r="P98" s="15"/>
      <c r="Q98" s="5" t="s">
        <v>383</v>
      </c>
      <c r="R98" s="5" t="s">
        <v>485</v>
      </c>
      <c r="S98" s="5" t="s">
        <v>449</v>
      </c>
      <c r="T98">
        <f>G98+I98+K98+M98+O98</f>
        <v>12</v>
      </c>
      <c r="U98">
        <f>H98+J98+L98+N98+P98</f>
        <v>4</v>
      </c>
      <c r="V98" s="31">
        <f>T98/(T98+U98)</f>
        <v>0.75</v>
      </c>
      <c r="W98" s="31">
        <f>G98/(G98+H98)</f>
        <v>0.75</v>
      </c>
      <c r="X98" s="31">
        <f>I98/(I98+J98)</f>
        <v>0.75</v>
      </c>
      <c r="Y98" s="31" t="e">
        <f>K98/(K98+L98)</f>
        <v>#DIV/0!</v>
      </c>
      <c r="Z98" s="31" t="e">
        <f>M98/(M98+N98)</f>
        <v>#DIV/0!</v>
      </c>
      <c r="AA98" s="31" t="e">
        <f>O98/(O98+P98)</f>
        <v>#DIV/0!</v>
      </c>
      <c r="AC98">
        <f t="shared" si="1"/>
        <v>8</v>
      </c>
    </row>
    <row r="99" spans="1:29" x14ac:dyDescent="0.3">
      <c r="A99" s="8" t="s">
        <v>33</v>
      </c>
      <c r="B99" s="5" t="s">
        <v>309</v>
      </c>
      <c r="C99" s="5" t="s">
        <v>34</v>
      </c>
      <c r="D99" s="5" t="s">
        <v>471</v>
      </c>
      <c r="E99" s="5" t="s">
        <v>467</v>
      </c>
      <c r="F99" s="5" t="s">
        <v>35</v>
      </c>
      <c r="G99" s="16">
        <v>6</v>
      </c>
      <c r="H99" s="17">
        <v>1</v>
      </c>
      <c r="I99" s="17">
        <v>6</v>
      </c>
      <c r="J99" s="17">
        <v>2</v>
      </c>
      <c r="K99" s="17">
        <v>6</v>
      </c>
      <c r="L99" s="17">
        <v>3</v>
      </c>
      <c r="M99" s="17"/>
      <c r="N99" s="17"/>
      <c r="O99" s="17"/>
      <c r="P99" s="18"/>
      <c r="Q99" s="5" t="s">
        <v>21</v>
      </c>
      <c r="R99" s="5" t="s">
        <v>471</v>
      </c>
      <c r="S99" s="5" t="s">
        <v>467</v>
      </c>
      <c r="T99">
        <f>G99+I99+K99+M99+O99</f>
        <v>18</v>
      </c>
      <c r="U99">
        <f>H99+J99+L99+N99+P99</f>
        <v>6</v>
      </c>
      <c r="V99" s="31">
        <f>T99/(T99+U99)</f>
        <v>0.75</v>
      </c>
      <c r="W99" s="31">
        <f>G99/(G99+H99)</f>
        <v>0.8571428571428571</v>
      </c>
      <c r="X99" s="31">
        <f>I99/(I99+J99)</f>
        <v>0.75</v>
      </c>
      <c r="Y99" s="31">
        <f>K99/(K99+L99)</f>
        <v>0.66666666666666663</v>
      </c>
      <c r="Z99" s="31" t="e">
        <f>M99/(M99+N99)</f>
        <v>#DIV/0!</v>
      </c>
      <c r="AA99" s="31" t="e">
        <f>O99/(O99+P99)</f>
        <v>#DIV/0!</v>
      </c>
    </row>
    <row r="100" spans="1:29" hidden="1" x14ac:dyDescent="0.3">
      <c r="A100" s="9" t="s">
        <v>196</v>
      </c>
      <c r="B100" s="5" t="s">
        <v>444</v>
      </c>
      <c r="C100" s="7" t="s">
        <v>379</v>
      </c>
      <c r="D100" s="7" t="s">
        <v>471</v>
      </c>
      <c r="E100" s="7" t="s">
        <v>467</v>
      </c>
      <c r="F100" s="7" t="s">
        <v>341</v>
      </c>
      <c r="G100" s="16">
        <v>6</v>
      </c>
      <c r="H100" s="17">
        <v>3</v>
      </c>
      <c r="I100" s="17">
        <v>6</v>
      </c>
      <c r="J100" s="17">
        <v>2</v>
      </c>
      <c r="K100" s="17"/>
      <c r="L100" s="17"/>
      <c r="M100" s="17"/>
      <c r="N100" s="17"/>
      <c r="O100" s="17"/>
      <c r="P100" s="18"/>
      <c r="Q100" s="7" t="s">
        <v>396</v>
      </c>
      <c r="R100" s="7" t="s">
        <v>485</v>
      </c>
      <c r="S100" s="7" t="s">
        <v>449</v>
      </c>
      <c r="T100">
        <f>G100+I100+K100+M100+O100</f>
        <v>12</v>
      </c>
      <c r="U100">
        <f>H100+J100+L100+N100+P100</f>
        <v>5</v>
      </c>
      <c r="V100" s="31">
        <f>T100/(T100+U100)</f>
        <v>0.70588235294117652</v>
      </c>
      <c r="W100" s="31">
        <f>G100/(G100+H100)</f>
        <v>0.66666666666666663</v>
      </c>
      <c r="X100" s="31">
        <f>I100/(I100+J100)</f>
        <v>0.75</v>
      </c>
      <c r="Y100" s="31" t="e">
        <f>K100/(K100+L100)</f>
        <v>#DIV/0!</v>
      </c>
      <c r="Z100" s="31" t="e">
        <f>M100/(M100+N100)</f>
        <v>#DIV/0!</v>
      </c>
      <c r="AA100" s="31" t="e">
        <f>O100/(O100+P100)</f>
        <v>#DIV/0!</v>
      </c>
      <c r="AC100">
        <f t="shared" si="1"/>
        <v>7</v>
      </c>
    </row>
    <row r="101" spans="1:29" x14ac:dyDescent="0.3">
      <c r="A101" s="9" t="s">
        <v>31</v>
      </c>
      <c r="B101" s="5" t="s">
        <v>309</v>
      </c>
      <c r="C101" s="7" t="s">
        <v>13</v>
      </c>
      <c r="D101" s="7" t="s">
        <v>471</v>
      </c>
      <c r="E101" s="7" t="s">
        <v>467</v>
      </c>
      <c r="F101" s="7" t="s">
        <v>32</v>
      </c>
      <c r="G101" s="13">
        <v>6</v>
      </c>
      <c r="H101" s="14">
        <v>4</v>
      </c>
      <c r="I101" s="14">
        <v>6</v>
      </c>
      <c r="J101" s="14">
        <v>3</v>
      </c>
      <c r="K101" s="14">
        <v>6</v>
      </c>
      <c r="L101" s="14">
        <v>2</v>
      </c>
      <c r="M101" s="14"/>
      <c r="N101" s="14"/>
      <c r="O101" s="14"/>
      <c r="P101" s="15"/>
      <c r="Q101" s="7" t="s">
        <v>21</v>
      </c>
      <c r="R101" s="7" t="s">
        <v>471</v>
      </c>
      <c r="S101" s="7" t="s">
        <v>467</v>
      </c>
      <c r="T101">
        <f>G101+I101+K101+M101+O101</f>
        <v>18</v>
      </c>
      <c r="U101">
        <f>H101+J101+L101+N101+P101</f>
        <v>9</v>
      </c>
      <c r="V101" s="31">
        <f>T101/(T101+U101)</f>
        <v>0.66666666666666663</v>
      </c>
      <c r="W101" s="31">
        <f>G101/(G101+H101)</f>
        <v>0.6</v>
      </c>
      <c r="X101" s="31">
        <f>I101/(I101+J101)</f>
        <v>0.66666666666666663</v>
      </c>
      <c r="Y101" s="31">
        <f>K101/(K101+L101)</f>
        <v>0.75</v>
      </c>
      <c r="Z101" s="31" t="e">
        <f>M101/(M101+N101)</f>
        <v>#DIV/0!</v>
      </c>
      <c r="AA101" s="31" t="e">
        <f>O101/(O101+P101)</f>
        <v>#DIV/0!</v>
      </c>
    </row>
    <row r="102" spans="1:29" hidden="1" x14ac:dyDescent="0.3">
      <c r="A102" s="8" t="s">
        <v>193</v>
      </c>
      <c r="B102" s="5" t="s">
        <v>444</v>
      </c>
      <c r="C102" s="5" t="s">
        <v>379</v>
      </c>
      <c r="D102" s="5" t="s">
        <v>471</v>
      </c>
      <c r="E102" s="5" t="s">
        <v>467</v>
      </c>
      <c r="F102" s="5" t="s">
        <v>540</v>
      </c>
      <c r="G102" s="13">
        <v>7</v>
      </c>
      <c r="H102" s="14">
        <v>6</v>
      </c>
      <c r="I102" s="14">
        <v>4</v>
      </c>
      <c r="J102" s="14">
        <v>6</v>
      </c>
      <c r="K102" s="14">
        <v>6</v>
      </c>
      <c r="L102" s="14">
        <v>0</v>
      </c>
      <c r="M102" s="14"/>
      <c r="N102" s="14"/>
      <c r="O102" s="14"/>
      <c r="P102" s="15"/>
      <c r="Q102" s="5" t="s">
        <v>382</v>
      </c>
      <c r="R102" s="5" t="s">
        <v>474</v>
      </c>
      <c r="S102" s="5" t="s">
        <v>448</v>
      </c>
      <c r="T102">
        <f>G102+I102+K102+M102+O102</f>
        <v>17</v>
      </c>
      <c r="U102">
        <f>H102+J102+L102+N102+P102</f>
        <v>12</v>
      </c>
      <c r="V102" s="31">
        <f>T102/(T102+U102)</f>
        <v>0.58620689655172409</v>
      </c>
      <c r="W102" s="31">
        <f>G102/(G102+H102)</f>
        <v>0.53846153846153844</v>
      </c>
      <c r="X102" s="31">
        <f>I102/(I102+J102)</f>
        <v>0.4</v>
      </c>
      <c r="Y102" s="31">
        <f>K102/(K102+L102)</f>
        <v>1</v>
      </c>
      <c r="Z102" s="31" t="e">
        <f>M102/(M102+N102)</f>
        <v>#DIV/0!</v>
      </c>
      <c r="AA102" s="31" t="e">
        <f>O102/(O102+P102)</f>
        <v>#DIV/0!</v>
      </c>
      <c r="AC102">
        <f t="shared" si="1"/>
        <v>5</v>
      </c>
    </row>
    <row r="103" spans="1:29" x14ac:dyDescent="0.3">
      <c r="A103" s="8" t="s">
        <v>20</v>
      </c>
      <c r="B103" s="5" t="s">
        <v>309</v>
      </c>
      <c r="C103" s="5" t="s">
        <v>21</v>
      </c>
      <c r="D103" s="5" t="s">
        <v>471</v>
      </c>
      <c r="E103" s="32" t="s">
        <v>467</v>
      </c>
      <c r="F103" s="5" t="s">
        <v>23</v>
      </c>
      <c r="G103" s="16">
        <v>6</v>
      </c>
      <c r="H103" s="17">
        <v>3</v>
      </c>
      <c r="I103" s="17">
        <v>6</v>
      </c>
      <c r="J103" s="17">
        <v>4</v>
      </c>
      <c r="K103" s="17">
        <v>6</v>
      </c>
      <c r="L103" s="17">
        <v>4</v>
      </c>
      <c r="M103" s="17"/>
      <c r="N103" s="17"/>
      <c r="O103" s="17"/>
      <c r="P103" s="18"/>
      <c r="Q103" s="5" t="s">
        <v>22</v>
      </c>
      <c r="R103" s="5" t="s">
        <v>488</v>
      </c>
      <c r="S103" s="5" t="s">
        <v>454</v>
      </c>
      <c r="T103">
        <f>G103+I103+K103+M103+O103</f>
        <v>18</v>
      </c>
      <c r="U103">
        <f>H103+J103+L103+N103+P103</f>
        <v>11</v>
      </c>
      <c r="V103" s="31">
        <f>T103/(T103+U103)</f>
        <v>0.62068965517241381</v>
      </c>
      <c r="W103" s="31">
        <f>G103/(G103+H103)</f>
        <v>0.66666666666666663</v>
      </c>
      <c r="X103" s="31">
        <f>I103/(I103+J103)</f>
        <v>0.6</v>
      </c>
      <c r="Y103" s="31">
        <f>K103/(K103+L103)</f>
        <v>0.6</v>
      </c>
      <c r="Z103" s="31" t="e">
        <f>M103/(M103+N103)</f>
        <v>#DIV/0!</v>
      </c>
      <c r="AA103" s="31" t="e">
        <f>O103/(O103+P103)</f>
        <v>#DIV/0!</v>
      </c>
    </row>
    <row r="104" spans="1:29" hidden="1" x14ac:dyDescent="0.3">
      <c r="A104" s="9" t="s">
        <v>189</v>
      </c>
      <c r="B104" s="5" t="s">
        <v>444</v>
      </c>
      <c r="C104" s="7" t="s">
        <v>376</v>
      </c>
      <c r="D104" s="7" t="s">
        <v>471</v>
      </c>
      <c r="E104" s="7" t="s">
        <v>467</v>
      </c>
      <c r="F104" s="7" t="s">
        <v>381</v>
      </c>
      <c r="G104" s="16">
        <v>6</v>
      </c>
      <c r="H104" s="17">
        <v>4</v>
      </c>
      <c r="I104" s="17">
        <v>7</v>
      </c>
      <c r="J104" s="17">
        <v>5</v>
      </c>
      <c r="K104" s="17"/>
      <c r="L104" s="17"/>
      <c r="M104" s="17"/>
      <c r="N104" s="17"/>
      <c r="O104" s="17"/>
      <c r="P104" s="18"/>
      <c r="Q104" s="7" t="s">
        <v>379</v>
      </c>
      <c r="R104" s="7" t="s">
        <v>471</v>
      </c>
      <c r="S104" s="7" t="s">
        <v>467</v>
      </c>
      <c r="T104">
        <f>G104+I104+K104+M104+O104</f>
        <v>13</v>
      </c>
      <c r="U104">
        <f>H104+J104+L104+N104+P104</f>
        <v>9</v>
      </c>
      <c r="V104" s="31">
        <f>T104/(T104+U104)</f>
        <v>0.59090909090909094</v>
      </c>
      <c r="W104" s="31">
        <f>G104/(G104+H104)</f>
        <v>0.6</v>
      </c>
      <c r="X104" s="31">
        <f>I104/(I104+J104)</f>
        <v>0.58333333333333337</v>
      </c>
      <c r="Y104" s="31" t="e">
        <f>K104/(K104+L104)</f>
        <v>#DIV/0!</v>
      </c>
      <c r="Z104" s="31" t="e">
        <f>M104/(M104+N104)</f>
        <v>#DIV/0!</v>
      </c>
      <c r="AA104" s="31" t="e">
        <f>O104/(O104+P104)</f>
        <v>#DIV/0!</v>
      </c>
      <c r="AC104">
        <f t="shared" si="1"/>
        <v>4</v>
      </c>
    </row>
    <row r="105" spans="1:29" x14ac:dyDescent="0.3">
      <c r="A105" s="8" t="s">
        <v>12</v>
      </c>
      <c r="B105" s="5" t="s">
        <v>309</v>
      </c>
      <c r="C105" s="5" t="s">
        <v>13</v>
      </c>
      <c r="D105" s="5" t="s">
        <v>471</v>
      </c>
      <c r="E105" s="5" t="s">
        <v>467</v>
      </c>
      <c r="F105" s="5" t="s">
        <v>15</v>
      </c>
      <c r="G105" s="16">
        <v>4</v>
      </c>
      <c r="H105" s="17">
        <v>6</v>
      </c>
      <c r="I105" s="17">
        <v>6</v>
      </c>
      <c r="J105" s="17">
        <v>3</v>
      </c>
      <c r="K105" s="17">
        <v>6</v>
      </c>
      <c r="L105" s="17">
        <v>4</v>
      </c>
      <c r="M105" s="17">
        <v>6</v>
      </c>
      <c r="N105" s="17">
        <v>4</v>
      </c>
      <c r="O105" s="17"/>
      <c r="P105" s="18"/>
      <c r="Q105" s="5" t="s">
        <v>14</v>
      </c>
      <c r="R105" s="5" t="s">
        <v>471</v>
      </c>
      <c r="S105" s="5" t="s">
        <v>467</v>
      </c>
      <c r="T105">
        <f>G105+I105+K105+M105+O105</f>
        <v>22</v>
      </c>
      <c r="U105">
        <f>H105+J105+L105+N105+P105</f>
        <v>17</v>
      </c>
      <c r="V105" s="31">
        <f>T105/(T105+U105)</f>
        <v>0.5641025641025641</v>
      </c>
      <c r="W105" s="31">
        <f>G105/(G105+H105)</f>
        <v>0.4</v>
      </c>
      <c r="X105" s="31">
        <f>I105/(I105+J105)</f>
        <v>0.66666666666666663</v>
      </c>
      <c r="Y105" s="31">
        <f>K105/(K105+L105)</f>
        <v>0.6</v>
      </c>
      <c r="Z105" s="31">
        <f>M105/(M105+N105)</f>
        <v>0.6</v>
      </c>
      <c r="AA105" s="31" t="e">
        <f>O105/(O105+P105)</f>
        <v>#DIV/0!</v>
      </c>
    </row>
    <row r="106" spans="1:29" hidden="1" x14ac:dyDescent="0.3">
      <c r="A106" s="8" t="s">
        <v>188</v>
      </c>
      <c r="B106" s="5" t="s">
        <v>444</v>
      </c>
      <c r="C106" s="5" t="s">
        <v>380</v>
      </c>
      <c r="D106" s="5" t="s">
        <v>464</v>
      </c>
      <c r="E106" s="5" t="s">
        <v>457</v>
      </c>
      <c r="F106" s="5" t="s">
        <v>336</v>
      </c>
      <c r="G106" s="13">
        <v>6</v>
      </c>
      <c r="H106" s="14">
        <v>4</v>
      </c>
      <c r="I106" s="14">
        <v>6</v>
      </c>
      <c r="J106" s="14">
        <v>4</v>
      </c>
      <c r="K106" s="14"/>
      <c r="L106" s="14"/>
      <c r="M106" s="14"/>
      <c r="N106" s="14"/>
      <c r="O106" s="14"/>
      <c r="P106" s="15"/>
      <c r="Q106" s="5" t="s">
        <v>379</v>
      </c>
      <c r="R106" s="5" t="s">
        <v>471</v>
      </c>
      <c r="S106" s="5" t="s">
        <v>467</v>
      </c>
      <c r="T106">
        <f>G106+I106+K106+M106+O106</f>
        <v>12</v>
      </c>
      <c r="U106">
        <f>H106+J106+L106+N106+P106</f>
        <v>8</v>
      </c>
      <c r="V106" s="31">
        <f>T106/(T106+U106)</f>
        <v>0.6</v>
      </c>
      <c r="W106" s="31">
        <f>G106/(G106+H106)</f>
        <v>0.6</v>
      </c>
      <c r="X106" s="31">
        <f>I106/(I106+J106)</f>
        <v>0.6</v>
      </c>
      <c r="Y106" s="31" t="e">
        <f>K106/(K106+L106)</f>
        <v>#DIV/0!</v>
      </c>
      <c r="Z106" s="31" t="e">
        <f>M106/(M106+N106)</f>
        <v>#DIV/0!</v>
      </c>
      <c r="AA106" s="31" t="e">
        <f>O106/(O106+P106)</f>
        <v>#DIV/0!</v>
      </c>
      <c r="AC106">
        <f t="shared" si="1"/>
        <v>4</v>
      </c>
    </row>
    <row r="107" spans="1:29" x14ac:dyDescent="0.3">
      <c r="A107" s="9" t="s">
        <v>253</v>
      </c>
      <c r="B107" s="5" t="s">
        <v>309</v>
      </c>
      <c r="C107" s="7" t="s">
        <v>254</v>
      </c>
      <c r="D107" s="7" t="s">
        <v>483</v>
      </c>
      <c r="E107" s="7" t="s">
        <v>462</v>
      </c>
      <c r="F107" s="7" t="s">
        <v>232</v>
      </c>
      <c r="G107" s="13">
        <v>6</v>
      </c>
      <c r="H107" s="14">
        <v>2</v>
      </c>
      <c r="I107" s="14">
        <v>6</v>
      </c>
      <c r="J107" s="14">
        <v>2</v>
      </c>
      <c r="K107" s="14">
        <v>6</v>
      </c>
      <c r="L107" s="14">
        <v>2</v>
      </c>
      <c r="M107" s="14"/>
      <c r="N107" s="14"/>
      <c r="O107" s="14"/>
      <c r="P107" s="15"/>
      <c r="Q107" s="7" t="s">
        <v>255</v>
      </c>
      <c r="R107" s="7" t="s">
        <v>493</v>
      </c>
      <c r="S107" s="7" t="s">
        <v>500</v>
      </c>
      <c r="T107">
        <f>G107+I107+K107+M107+O107</f>
        <v>18</v>
      </c>
      <c r="U107">
        <f>H107+J107+L107+N107+P107</f>
        <v>6</v>
      </c>
      <c r="V107" s="31">
        <f>T107/(T107+U107)</f>
        <v>0.75</v>
      </c>
      <c r="W107" s="31">
        <f>G107/(G107+H107)</f>
        <v>0.75</v>
      </c>
      <c r="X107" s="31">
        <f>I107/(I107+J107)</f>
        <v>0.75</v>
      </c>
      <c r="Y107" s="31">
        <f>K107/(K107+L107)</f>
        <v>0.75</v>
      </c>
      <c r="Z107" s="31" t="e">
        <f>M107/(M107+N107)</f>
        <v>#DIV/0!</v>
      </c>
      <c r="AA107" s="31" t="e">
        <f>O107/(O107+P107)</f>
        <v>#DIV/0!</v>
      </c>
    </row>
    <row r="108" spans="1:29" hidden="1" x14ac:dyDescent="0.3">
      <c r="A108" s="9" t="s">
        <v>186</v>
      </c>
      <c r="B108" s="5" t="s">
        <v>444</v>
      </c>
      <c r="C108" s="7" t="s">
        <v>376</v>
      </c>
      <c r="D108" s="7" t="s">
        <v>471</v>
      </c>
      <c r="E108" s="7" t="s">
        <v>467</v>
      </c>
      <c r="F108" s="7" t="s">
        <v>539</v>
      </c>
      <c r="G108" s="16">
        <v>2</v>
      </c>
      <c r="H108" s="17">
        <v>6</v>
      </c>
      <c r="I108" s="17">
        <v>7</v>
      </c>
      <c r="J108" s="17">
        <v>6</v>
      </c>
      <c r="K108" s="17">
        <v>7</v>
      </c>
      <c r="L108" s="17">
        <v>5</v>
      </c>
      <c r="M108" s="17"/>
      <c r="N108" s="17"/>
      <c r="O108" s="17"/>
      <c r="P108" s="18"/>
      <c r="Q108" s="7" t="s">
        <v>379</v>
      </c>
      <c r="R108" s="7" t="s">
        <v>471</v>
      </c>
      <c r="S108" s="7" t="s">
        <v>467</v>
      </c>
      <c r="T108">
        <f>G108+I108+K108+M108+O108</f>
        <v>16</v>
      </c>
      <c r="U108">
        <f>H108+J108+L108+N108+P108</f>
        <v>17</v>
      </c>
      <c r="V108" s="31">
        <f>T108/(T108+U108)</f>
        <v>0.48484848484848486</v>
      </c>
      <c r="W108" s="31">
        <f>G108/(G108+H108)</f>
        <v>0.25</v>
      </c>
      <c r="X108" s="31">
        <f>I108/(I108+J108)</f>
        <v>0.53846153846153844</v>
      </c>
      <c r="Y108" s="31">
        <f>K108/(K108+L108)</f>
        <v>0.58333333333333337</v>
      </c>
      <c r="Z108" s="31" t="e">
        <f>M108/(M108+N108)</f>
        <v>#DIV/0!</v>
      </c>
      <c r="AA108" s="31" t="e">
        <f>O108/(O108+P108)</f>
        <v>#DIV/0!</v>
      </c>
      <c r="AC108">
        <f t="shared" si="1"/>
        <v>-1</v>
      </c>
    </row>
    <row r="109" spans="1:29" x14ac:dyDescent="0.3">
      <c r="A109" s="9" t="s">
        <v>233</v>
      </c>
      <c r="B109" s="5" t="s">
        <v>309</v>
      </c>
      <c r="C109" s="7" t="s">
        <v>220</v>
      </c>
      <c r="D109" s="7" t="s">
        <v>485</v>
      </c>
      <c r="E109" s="7" t="s">
        <v>449</v>
      </c>
      <c r="F109" s="7" t="s">
        <v>523</v>
      </c>
      <c r="G109" s="13">
        <v>4</v>
      </c>
      <c r="H109" s="14">
        <v>6</v>
      </c>
      <c r="I109" s="14">
        <v>7</v>
      </c>
      <c r="J109" s="14">
        <v>6</v>
      </c>
      <c r="K109" s="14">
        <v>5</v>
      </c>
      <c r="L109" s="14">
        <v>2</v>
      </c>
      <c r="M109" s="14"/>
      <c r="N109" s="14"/>
      <c r="O109" s="14"/>
      <c r="P109" s="15"/>
      <c r="Q109" s="7" t="s">
        <v>225</v>
      </c>
      <c r="R109" s="7" t="s">
        <v>482</v>
      </c>
      <c r="S109" s="7" t="s">
        <v>450</v>
      </c>
      <c r="T109">
        <f>G109+I109+K109+M109+O109</f>
        <v>16</v>
      </c>
      <c r="U109">
        <f>H109+J109+L109+N109+P109</f>
        <v>14</v>
      </c>
      <c r="V109" s="31">
        <f>T109/(T109+U109)</f>
        <v>0.53333333333333333</v>
      </c>
      <c r="W109" s="31">
        <f>G109/(G109+H109)</f>
        <v>0.4</v>
      </c>
      <c r="X109" s="31">
        <f>I109/(I109+J109)</f>
        <v>0.53846153846153844</v>
      </c>
      <c r="Y109" s="31">
        <f>K109/(K109+L109)</f>
        <v>0.7142857142857143</v>
      </c>
      <c r="Z109" s="31" t="e">
        <f>M109/(M109+N109)</f>
        <v>#DIV/0!</v>
      </c>
      <c r="AA109" s="31" t="e">
        <f>O109/(O109+P109)</f>
        <v>#DIV/0!</v>
      </c>
    </row>
    <row r="110" spans="1:29" hidden="1" x14ac:dyDescent="0.3">
      <c r="A110" s="8" t="s">
        <v>183</v>
      </c>
      <c r="B110" s="5" t="s">
        <v>444</v>
      </c>
      <c r="C110" s="5" t="s">
        <v>376</v>
      </c>
      <c r="D110" s="5" t="s">
        <v>471</v>
      </c>
      <c r="E110" s="5" t="s">
        <v>467</v>
      </c>
      <c r="F110" s="5" t="s">
        <v>318</v>
      </c>
      <c r="G110" s="13">
        <v>6</v>
      </c>
      <c r="H110" s="14">
        <v>1</v>
      </c>
      <c r="I110" s="14">
        <v>6</v>
      </c>
      <c r="J110" s="14">
        <v>3</v>
      </c>
      <c r="K110" s="14"/>
      <c r="L110" s="14"/>
      <c r="M110" s="14"/>
      <c r="N110" s="14"/>
      <c r="O110" s="14"/>
      <c r="P110" s="15"/>
      <c r="Q110" s="5" t="s">
        <v>378</v>
      </c>
      <c r="R110" s="5" t="s">
        <v>471</v>
      </c>
      <c r="S110" s="5" t="s">
        <v>467</v>
      </c>
      <c r="T110">
        <f>G110+I110+K110+M110+O110</f>
        <v>12</v>
      </c>
      <c r="U110">
        <f>H110+J110+L110+N110+P110</f>
        <v>4</v>
      </c>
      <c r="V110" s="31">
        <f>T110/(T110+U110)</f>
        <v>0.75</v>
      </c>
      <c r="W110" s="31">
        <f>G110/(G110+H110)</f>
        <v>0.8571428571428571</v>
      </c>
      <c r="X110" s="31">
        <f>I110/(I110+J110)</f>
        <v>0.66666666666666663</v>
      </c>
      <c r="Y110" s="31" t="e">
        <f>K110/(K110+L110)</f>
        <v>#DIV/0!</v>
      </c>
      <c r="Z110" s="31" t="e">
        <f>M110/(M110+N110)</f>
        <v>#DIV/0!</v>
      </c>
      <c r="AA110" s="31" t="e">
        <f>O110/(O110+P110)</f>
        <v>#DIV/0!</v>
      </c>
      <c r="AC110">
        <f t="shared" si="1"/>
        <v>8</v>
      </c>
    </row>
    <row r="111" spans="1:29" x14ac:dyDescent="0.3">
      <c r="A111" s="8" t="s">
        <v>230</v>
      </c>
      <c r="B111" s="5" t="s">
        <v>309</v>
      </c>
      <c r="C111" s="5" t="s">
        <v>220</v>
      </c>
      <c r="D111" s="5" t="s">
        <v>485</v>
      </c>
      <c r="E111" s="11" t="s">
        <v>449</v>
      </c>
      <c r="F111" s="5" t="s">
        <v>232</v>
      </c>
      <c r="G111" s="16">
        <v>6</v>
      </c>
      <c r="H111" s="17">
        <v>2</v>
      </c>
      <c r="I111" s="17">
        <v>6</v>
      </c>
      <c r="J111" s="17">
        <v>2</v>
      </c>
      <c r="K111" s="17">
        <v>6</v>
      </c>
      <c r="L111" s="17">
        <v>2</v>
      </c>
      <c r="M111" s="17"/>
      <c r="N111" s="17"/>
      <c r="O111" s="17"/>
      <c r="P111" s="18"/>
      <c r="Q111" s="5" t="s">
        <v>231</v>
      </c>
      <c r="R111" s="5" t="s">
        <v>485</v>
      </c>
      <c r="S111" s="5" t="s">
        <v>449</v>
      </c>
      <c r="T111">
        <f>G111+I111+K111+M111+O111</f>
        <v>18</v>
      </c>
      <c r="U111">
        <f>H111+J111+L111+N111+P111</f>
        <v>6</v>
      </c>
      <c r="V111" s="31">
        <f>T111/(T111+U111)</f>
        <v>0.75</v>
      </c>
      <c r="W111" s="31">
        <f>G111/(G111+H111)</f>
        <v>0.75</v>
      </c>
      <c r="X111" s="31">
        <f>I111/(I111+J111)</f>
        <v>0.75</v>
      </c>
      <c r="Y111" s="31">
        <f>K111/(K111+L111)</f>
        <v>0.75</v>
      </c>
      <c r="Z111" s="31" t="e">
        <f>M111/(M111+N111)</f>
        <v>#DIV/0!</v>
      </c>
      <c r="AA111" s="31" t="e">
        <f>O111/(O111+P111)</f>
        <v>#DIV/0!</v>
      </c>
    </row>
    <row r="112" spans="1:29" hidden="1" x14ac:dyDescent="0.3">
      <c r="A112" s="9" t="s">
        <v>180</v>
      </c>
      <c r="B112" s="5" t="s">
        <v>444</v>
      </c>
      <c r="C112" s="7" t="s">
        <v>376</v>
      </c>
      <c r="D112" s="7" t="s">
        <v>471</v>
      </c>
      <c r="E112" s="7" t="s">
        <v>467</v>
      </c>
      <c r="F112" s="7" t="s">
        <v>377</v>
      </c>
      <c r="G112" s="16">
        <v>6</v>
      </c>
      <c r="H112" s="17">
        <v>4</v>
      </c>
      <c r="I112" s="17">
        <v>6</v>
      </c>
      <c r="J112" s="17">
        <v>1</v>
      </c>
      <c r="K112" s="17"/>
      <c r="L112" s="17"/>
      <c r="M112" s="17"/>
      <c r="N112" s="17"/>
      <c r="O112" s="17"/>
      <c r="P112" s="18"/>
      <c r="Q112" s="7" t="s">
        <v>375</v>
      </c>
      <c r="R112" s="7" t="s">
        <v>474</v>
      </c>
      <c r="S112" s="7" t="s">
        <v>448</v>
      </c>
      <c r="T112">
        <f>G112+I112+K112+M112+O112</f>
        <v>12</v>
      </c>
      <c r="U112">
        <f>H112+J112+L112+N112+P112</f>
        <v>5</v>
      </c>
      <c r="V112" s="31">
        <f>T112/(T112+U112)</f>
        <v>0.70588235294117652</v>
      </c>
      <c r="W112" s="31">
        <f>G112/(G112+H112)</f>
        <v>0.6</v>
      </c>
      <c r="X112" s="31">
        <f>I112/(I112+J112)</f>
        <v>0.8571428571428571</v>
      </c>
      <c r="Y112" s="31" t="e">
        <f>K112/(K112+L112)</f>
        <v>#DIV/0!</v>
      </c>
      <c r="Z112" s="31" t="e">
        <f>M112/(M112+N112)</f>
        <v>#DIV/0!</v>
      </c>
      <c r="AA112" s="31" t="e">
        <f>O112/(O112+P112)</f>
        <v>#DIV/0!</v>
      </c>
      <c r="AC112">
        <f t="shared" si="1"/>
        <v>7</v>
      </c>
    </row>
    <row r="113" spans="1:29" x14ac:dyDescent="0.3">
      <c r="A113" s="8" t="s">
        <v>78</v>
      </c>
      <c r="B113" s="5" t="s">
        <v>309</v>
      </c>
      <c r="C113" s="5" t="s">
        <v>79</v>
      </c>
      <c r="D113" s="5" t="s">
        <v>481</v>
      </c>
      <c r="E113" s="5" t="s">
        <v>459</v>
      </c>
      <c r="F113" s="5" t="s">
        <v>81</v>
      </c>
      <c r="G113" s="16">
        <v>6</v>
      </c>
      <c r="H113" s="17">
        <v>4</v>
      </c>
      <c r="I113" s="17">
        <v>6</v>
      </c>
      <c r="J113" s="17">
        <v>1</v>
      </c>
      <c r="K113" s="17">
        <v>4</v>
      </c>
      <c r="L113" s="17">
        <v>6</v>
      </c>
      <c r="M113" s="17">
        <v>5</v>
      </c>
      <c r="N113" s="17">
        <v>7</v>
      </c>
      <c r="O113" s="17">
        <v>6</v>
      </c>
      <c r="P113" s="18">
        <v>3</v>
      </c>
      <c r="Q113" s="5" t="s">
        <v>80</v>
      </c>
      <c r="R113" s="5" t="s">
        <v>471</v>
      </c>
      <c r="S113" s="5" t="s">
        <v>467</v>
      </c>
      <c r="T113">
        <f>G113+I113+K113+M113+O113</f>
        <v>27</v>
      </c>
      <c r="U113">
        <f>H113+J113+L113+N113+P113</f>
        <v>21</v>
      </c>
      <c r="V113" s="31">
        <f>T113/(T113+U113)</f>
        <v>0.5625</v>
      </c>
      <c r="W113" s="31">
        <f>G113/(G113+H113)</f>
        <v>0.6</v>
      </c>
      <c r="X113" s="31">
        <f>I113/(I113+J113)</f>
        <v>0.8571428571428571</v>
      </c>
      <c r="Y113" s="31">
        <f>K113/(K113+L113)</f>
        <v>0.4</v>
      </c>
      <c r="Z113" s="31">
        <f>M113/(M113+N113)</f>
        <v>0.41666666666666669</v>
      </c>
      <c r="AA113" s="31">
        <f>O113/(O113+P113)</f>
        <v>0.66666666666666663</v>
      </c>
    </row>
    <row r="114" spans="1:29" hidden="1" x14ac:dyDescent="0.3">
      <c r="A114" s="8" t="s">
        <v>176</v>
      </c>
      <c r="B114" s="5" t="s">
        <v>444</v>
      </c>
      <c r="C114" s="5" t="s">
        <v>375</v>
      </c>
      <c r="D114" s="5" t="s">
        <v>474</v>
      </c>
      <c r="E114" s="11" t="s">
        <v>448</v>
      </c>
      <c r="F114" s="5" t="s">
        <v>343</v>
      </c>
      <c r="G114" s="13">
        <v>6</v>
      </c>
      <c r="H114" s="14">
        <v>1</v>
      </c>
      <c r="I114" s="14">
        <v>6</v>
      </c>
      <c r="J114" s="14">
        <v>2</v>
      </c>
      <c r="K114" s="14"/>
      <c r="L114" s="14"/>
      <c r="M114" s="14"/>
      <c r="N114" s="14"/>
      <c r="O114" s="14"/>
      <c r="P114" s="15"/>
      <c r="Q114" s="5" t="s">
        <v>376</v>
      </c>
      <c r="R114" s="5" t="s">
        <v>471</v>
      </c>
      <c r="S114" s="5" t="s">
        <v>467</v>
      </c>
      <c r="T114">
        <f>G114+I114+K114+M114+O114</f>
        <v>12</v>
      </c>
      <c r="U114">
        <f>H114+J114+L114+N114+P114</f>
        <v>3</v>
      </c>
      <c r="V114" s="31">
        <f>T114/(T114+U114)</f>
        <v>0.8</v>
      </c>
      <c r="W114" s="31">
        <f>G114/(G114+H114)</f>
        <v>0.8571428571428571</v>
      </c>
      <c r="X114" s="31">
        <f>I114/(I114+J114)</f>
        <v>0.75</v>
      </c>
      <c r="Y114" s="31" t="e">
        <f>K114/(K114+L114)</f>
        <v>#DIV/0!</v>
      </c>
      <c r="Z114" s="31" t="e">
        <f>M114/(M114+N114)</f>
        <v>#DIV/0!</v>
      </c>
      <c r="AA114" s="31" t="e">
        <f>O114/(O114+P114)</f>
        <v>#DIV/0!</v>
      </c>
      <c r="AC114">
        <f t="shared" si="1"/>
        <v>9</v>
      </c>
    </row>
    <row r="115" spans="1:29" x14ac:dyDescent="0.3">
      <c r="A115" s="9" t="s">
        <v>247</v>
      </c>
      <c r="B115" s="5" t="s">
        <v>309</v>
      </c>
      <c r="C115" s="7" t="s">
        <v>235</v>
      </c>
      <c r="D115" s="7" t="s">
        <v>458</v>
      </c>
      <c r="E115" s="7" t="s">
        <v>456</v>
      </c>
      <c r="F115" s="7" t="s">
        <v>249</v>
      </c>
      <c r="G115" s="13">
        <v>6</v>
      </c>
      <c r="H115" s="14">
        <v>2</v>
      </c>
      <c r="I115" s="14">
        <v>6</v>
      </c>
      <c r="J115" s="14">
        <v>4</v>
      </c>
      <c r="K115" s="14">
        <v>2</v>
      </c>
      <c r="L115" s="14">
        <v>6</v>
      </c>
      <c r="M115" s="14">
        <v>6</v>
      </c>
      <c r="N115" s="14">
        <v>2</v>
      </c>
      <c r="O115" s="14"/>
      <c r="P115" s="15"/>
      <c r="Q115" s="7" t="s">
        <v>248</v>
      </c>
      <c r="R115" s="7" t="s">
        <v>474</v>
      </c>
      <c r="S115" s="7" t="s">
        <v>448</v>
      </c>
      <c r="T115">
        <f>G115+I115+K115+M115+O115</f>
        <v>20</v>
      </c>
      <c r="U115">
        <f>H115+J115+L115+N115+P115</f>
        <v>14</v>
      </c>
      <c r="V115" s="31">
        <f>T115/(T115+U115)</f>
        <v>0.58823529411764708</v>
      </c>
      <c r="W115" s="31">
        <f>G115/(G115+H115)</f>
        <v>0.75</v>
      </c>
      <c r="X115" s="31">
        <f>I115/(I115+J115)</f>
        <v>0.6</v>
      </c>
      <c r="Y115" s="31">
        <f>K115/(K115+L115)</f>
        <v>0.25</v>
      </c>
      <c r="Z115" s="31">
        <f>M115/(M115+N115)</f>
        <v>0.75</v>
      </c>
      <c r="AA115" s="31" t="e">
        <f>O115/(O115+P115)</f>
        <v>#DIV/0!</v>
      </c>
    </row>
    <row r="116" spans="1:29" hidden="1" x14ac:dyDescent="0.3">
      <c r="A116" s="9" t="s">
        <v>174</v>
      </c>
      <c r="B116" s="5" t="s">
        <v>444</v>
      </c>
      <c r="C116" s="7" t="s">
        <v>373</v>
      </c>
      <c r="D116" s="7" t="s">
        <v>474</v>
      </c>
      <c r="E116" s="7" t="s">
        <v>448</v>
      </c>
      <c r="F116" s="7" t="s">
        <v>331</v>
      </c>
      <c r="G116" s="16">
        <v>6</v>
      </c>
      <c r="H116" s="17">
        <v>1</v>
      </c>
      <c r="I116" s="17">
        <v>6</v>
      </c>
      <c r="J116" s="17">
        <v>4</v>
      </c>
      <c r="K116" s="17"/>
      <c r="L116" s="17"/>
      <c r="M116" s="17"/>
      <c r="N116" s="17"/>
      <c r="O116" s="17"/>
      <c r="P116" s="18"/>
      <c r="Q116" s="7" t="s">
        <v>370</v>
      </c>
      <c r="R116" s="7" t="s">
        <v>471</v>
      </c>
      <c r="S116" s="7" t="s">
        <v>467</v>
      </c>
      <c r="T116">
        <f>G116+I116+K116+M116+O116</f>
        <v>12</v>
      </c>
      <c r="U116">
        <f>H116+J116+L116+N116+P116</f>
        <v>5</v>
      </c>
      <c r="V116" s="31">
        <f>T116/(T116+U116)</f>
        <v>0.70588235294117652</v>
      </c>
      <c r="W116" s="31">
        <f>G116/(G116+H116)</f>
        <v>0.8571428571428571</v>
      </c>
      <c r="X116" s="31">
        <f>I116/(I116+J116)</f>
        <v>0.6</v>
      </c>
      <c r="Y116" s="31" t="e">
        <f>K116/(K116+L116)</f>
        <v>#DIV/0!</v>
      </c>
      <c r="Z116" s="31" t="e">
        <f>M116/(M116+N116)</f>
        <v>#DIV/0!</v>
      </c>
      <c r="AA116" s="31" t="e">
        <f>O116/(O116+P116)</f>
        <v>#DIV/0!</v>
      </c>
      <c r="AC116">
        <f t="shared" si="1"/>
        <v>7</v>
      </c>
    </row>
    <row r="117" spans="1:29" x14ac:dyDescent="0.3">
      <c r="A117" s="8" t="s">
        <v>234</v>
      </c>
      <c r="B117" s="5" t="s">
        <v>309</v>
      </c>
      <c r="C117" s="5" t="s">
        <v>235</v>
      </c>
      <c r="D117" s="5" t="s">
        <v>458</v>
      </c>
      <c r="E117" s="5" t="s">
        <v>456</v>
      </c>
      <c r="F117" s="5" t="s">
        <v>236</v>
      </c>
      <c r="G117" s="16">
        <v>1</v>
      </c>
      <c r="H117" s="17">
        <v>6</v>
      </c>
      <c r="I117" s="17">
        <v>6</v>
      </c>
      <c r="J117" s="17">
        <v>4</v>
      </c>
      <c r="K117" s="17">
        <v>6</v>
      </c>
      <c r="L117" s="17">
        <v>4</v>
      </c>
      <c r="M117" s="17">
        <v>6</v>
      </c>
      <c r="N117" s="17">
        <v>4</v>
      </c>
      <c r="O117" s="17"/>
      <c r="P117" s="18"/>
      <c r="Q117" s="5" t="s">
        <v>220</v>
      </c>
      <c r="R117" s="5" t="s">
        <v>485</v>
      </c>
      <c r="S117" s="5" t="s">
        <v>449</v>
      </c>
      <c r="T117">
        <f>G117+I117+K117+M117+O117</f>
        <v>19</v>
      </c>
      <c r="U117">
        <f>H117+J117+L117+N117+P117</f>
        <v>18</v>
      </c>
      <c r="V117" s="31">
        <f>T117/(T117+U117)</f>
        <v>0.51351351351351349</v>
      </c>
      <c r="W117" s="31">
        <f>G117/(G117+H117)</f>
        <v>0.14285714285714285</v>
      </c>
      <c r="X117" s="31">
        <f>I117/(I117+J117)</f>
        <v>0.6</v>
      </c>
      <c r="Y117" s="31">
        <f>K117/(K117+L117)</f>
        <v>0.6</v>
      </c>
      <c r="Z117" s="31">
        <f>M117/(M117+N117)</f>
        <v>0.6</v>
      </c>
      <c r="AA117" s="31" t="e">
        <f>O117/(O117+P117)</f>
        <v>#DIV/0!</v>
      </c>
    </row>
    <row r="118" spans="1:29" hidden="1" x14ac:dyDescent="0.3">
      <c r="A118" s="8" t="s">
        <v>171</v>
      </c>
      <c r="B118" s="5" t="s">
        <v>444</v>
      </c>
      <c r="C118" s="5" t="s">
        <v>366</v>
      </c>
      <c r="D118" s="5" t="s">
        <v>471</v>
      </c>
      <c r="E118" s="5" t="s">
        <v>467</v>
      </c>
      <c r="F118" s="5" t="s">
        <v>374</v>
      </c>
      <c r="G118" s="13"/>
      <c r="H118" s="14"/>
      <c r="I118" s="14"/>
      <c r="J118" s="14"/>
      <c r="K118" s="14"/>
      <c r="L118" s="14"/>
      <c r="M118" s="14"/>
      <c r="N118" s="14"/>
      <c r="O118" s="14"/>
      <c r="P118" s="15"/>
      <c r="Q118" s="5" t="s">
        <v>373</v>
      </c>
      <c r="R118" s="5" t="s">
        <v>474</v>
      </c>
      <c r="S118" s="5" t="s">
        <v>448</v>
      </c>
      <c r="T118">
        <f>G118+I118+K118+M118+O118</f>
        <v>0</v>
      </c>
      <c r="U118">
        <f>H118+J118+L118+N118+P118</f>
        <v>0</v>
      </c>
      <c r="V118" s="31" t="e">
        <f>T118/(T118+U118)</f>
        <v>#DIV/0!</v>
      </c>
      <c r="W118" s="31" t="e">
        <f>G118/(G118+H118)</f>
        <v>#DIV/0!</v>
      </c>
      <c r="X118" s="31" t="e">
        <f>I118/(I118+J118)</f>
        <v>#DIV/0!</v>
      </c>
      <c r="Y118" s="31" t="e">
        <f>K118/(K118+L118)</f>
        <v>#DIV/0!</v>
      </c>
      <c r="Z118" s="31" t="e">
        <f>M118/(M118+N118)</f>
        <v>#DIV/0!</v>
      </c>
      <c r="AA118" s="31" t="e">
        <f>O118/(O118+P118)</f>
        <v>#DIV/0!</v>
      </c>
      <c r="AC118">
        <f t="shared" si="1"/>
        <v>0</v>
      </c>
    </row>
    <row r="119" spans="1:29" x14ac:dyDescent="0.3">
      <c r="A119" s="9">
        <v>2024</v>
      </c>
      <c r="B119" s="5" t="s">
        <v>309</v>
      </c>
      <c r="C119" s="7" t="s">
        <v>569</v>
      </c>
      <c r="D119" s="7" t="s">
        <v>570</v>
      </c>
      <c r="E119" s="7" t="s">
        <v>571</v>
      </c>
      <c r="F119" s="21" t="s">
        <v>572</v>
      </c>
      <c r="G119" s="13">
        <v>3</v>
      </c>
      <c r="H119" s="14">
        <v>6</v>
      </c>
      <c r="I119" s="14">
        <v>3</v>
      </c>
      <c r="J119" s="14">
        <v>6</v>
      </c>
      <c r="K119" s="14">
        <v>6</v>
      </c>
      <c r="L119" s="14">
        <v>4</v>
      </c>
      <c r="M119" s="14">
        <v>6</v>
      </c>
      <c r="N119" s="14">
        <v>4</v>
      </c>
      <c r="O119" s="7">
        <v>6</v>
      </c>
      <c r="P119" s="34">
        <v>3</v>
      </c>
      <c r="Q119" s="7" t="s">
        <v>573</v>
      </c>
      <c r="R119" s="7" t="s">
        <v>480</v>
      </c>
      <c r="S119" s="7" t="s">
        <v>452</v>
      </c>
      <c r="T119">
        <f>G119+I119+K119+M119+O119</f>
        <v>24</v>
      </c>
      <c r="U119">
        <f>H119+J119+L119+N119+P119</f>
        <v>23</v>
      </c>
      <c r="V119" s="31">
        <f>T119/(T119+U119)</f>
        <v>0.51063829787234039</v>
      </c>
      <c r="W119" s="31">
        <f>G119/(G119+H119)</f>
        <v>0.33333333333333331</v>
      </c>
      <c r="X119" s="31">
        <f>I119/(I119+J119)</f>
        <v>0.33333333333333331</v>
      </c>
      <c r="Y119" s="31">
        <f>K119/(K119+L119)</f>
        <v>0.6</v>
      </c>
      <c r="Z119" s="31">
        <f>M119/(M119+N119)</f>
        <v>0.6</v>
      </c>
      <c r="AA119" s="31">
        <f>O119/(O119+P119)</f>
        <v>0.66666666666666663</v>
      </c>
    </row>
    <row r="120" spans="1:29" hidden="1" x14ac:dyDescent="0.3">
      <c r="A120" s="9" t="s">
        <v>169</v>
      </c>
      <c r="B120" s="5" t="s">
        <v>444</v>
      </c>
      <c r="C120" s="7" t="s">
        <v>366</v>
      </c>
      <c r="D120" s="7" t="s">
        <v>471</v>
      </c>
      <c r="E120" s="7" t="s">
        <v>467</v>
      </c>
      <c r="F120" s="7" t="s">
        <v>372</v>
      </c>
      <c r="G120" s="16">
        <v>5</v>
      </c>
      <c r="H120" s="17">
        <v>7</v>
      </c>
      <c r="I120" s="17">
        <v>6</v>
      </c>
      <c r="J120" s="17">
        <v>4</v>
      </c>
      <c r="K120" s="17">
        <v>5</v>
      </c>
      <c r="L120" s="17">
        <v>2</v>
      </c>
      <c r="M120" s="17"/>
      <c r="N120" s="17"/>
      <c r="O120" s="17"/>
      <c r="P120" s="18"/>
      <c r="Q120" s="7" t="s">
        <v>371</v>
      </c>
      <c r="R120" s="7" t="s">
        <v>495</v>
      </c>
      <c r="S120" s="7" t="s">
        <v>501</v>
      </c>
      <c r="T120">
        <f>G120+I120+K120+M120+O120</f>
        <v>16</v>
      </c>
      <c r="U120">
        <f>H120+J120+L120+N120+P120</f>
        <v>13</v>
      </c>
      <c r="V120" s="31">
        <f>T120/(T120+U120)</f>
        <v>0.55172413793103448</v>
      </c>
      <c r="W120" s="31">
        <f>G120/(G120+H120)</f>
        <v>0.41666666666666669</v>
      </c>
      <c r="X120" s="31">
        <f>I120/(I120+J120)</f>
        <v>0.6</v>
      </c>
      <c r="Y120" s="31">
        <f>K120/(K120+L120)</f>
        <v>0.7142857142857143</v>
      </c>
      <c r="Z120" s="31" t="e">
        <f>M120/(M120+N120)</f>
        <v>#DIV/0!</v>
      </c>
      <c r="AA120" s="31" t="e">
        <f>O120/(O120+P120)</f>
        <v>#DIV/0!</v>
      </c>
      <c r="AC120">
        <f t="shared" si="1"/>
        <v>3</v>
      </c>
    </row>
    <row r="121" spans="1:29" x14ac:dyDescent="0.3">
      <c r="A121" s="8" t="s">
        <v>28</v>
      </c>
      <c r="B121" s="5" t="s">
        <v>309</v>
      </c>
      <c r="C121" s="5" t="s">
        <v>17</v>
      </c>
      <c r="D121" s="5" t="s">
        <v>488</v>
      </c>
      <c r="E121" s="5" t="s">
        <v>454</v>
      </c>
      <c r="F121" s="5" t="s">
        <v>30</v>
      </c>
      <c r="G121" s="16">
        <v>6</v>
      </c>
      <c r="H121" s="17">
        <v>1</v>
      </c>
      <c r="I121" s="17">
        <v>7</v>
      </c>
      <c r="J121" s="17">
        <v>5</v>
      </c>
      <c r="K121" s="17">
        <v>6</v>
      </c>
      <c r="L121" s="17">
        <v>2</v>
      </c>
      <c r="M121" s="17"/>
      <c r="N121" s="17"/>
      <c r="O121" s="17"/>
      <c r="P121" s="18"/>
      <c r="Q121" s="5" t="s">
        <v>29</v>
      </c>
      <c r="R121" s="5" t="s">
        <v>471</v>
      </c>
      <c r="S121" s="5" t="s">
        <v>467</v>
      </c>
      <c r="T121">
        <f>G121+I121+K121+M121+O121</f>
        <v>19</v>
      </c>
      <c r="U121">
        <f>H121+J121+L121+N121+P121</f>
        <v>8</v>
      </c>
      <c r="V121" s="31">
        <f>T121/(T121+U121)</f>
        <v>0.70370370370370372</v>
      </c>
      <c r="W121" s="31">
        <f>G121/(G121+H121)</f>
        <v>0.8571428571428571</v>
      </c>
      <c r="X121" s="31">
        <f>I121/(I121+J121)</f>
        <v>0.58333333333333337</v>
      </c>
      <c r="Y121" s="31">
        <f>K121/(K121+L121)</f>
        <v>0.75</v>
      </c>
      <c r="Z121" s="31" t="e">
        <f>M121/(M121+N121)</f>
        <v>#DIV/0!</v>
      </c>
      <c r="AA121" s="31" t="e">
        <f>O121/(O121+P121)</f>
        <v>#DIV/0!</v>
      </c>
    </row>
    <row r="122" spans="1:29" hidden="1" x14ac:dyDescent="0.3">
      <c r="A122" s="8" t="s">
        <v>166</v>
      </c>
      <c r="B122" s="5" t="s">
        <v>444</v>
      </c>
      <c r="C122" s="5" t="s">
        <v>366</v>
      </c>
      <c r="D122" s="5" t="s">
        <v>471</v>
      </c>
      <c r="E122" s="5" t="s">
        <v>467</v>
      </c>
      <c r="F122" s="5" t="s">
        <v>341</v>
      </c>
      <c r="G122" s="13">
        <v>6</v>
      </c>
      <c r="H122" s="14">
        <v>3</v>
      </c>
      <c r="I122" s="14">
        <v>6</v>
      </c>
      <c r="J122" s="14">
        <v>2</v>
      </c>
      <c r="K122" s="14"/>
      <c r="L122" s="14"/>
      <c r="M122" s="14"/>
      <c r="N122" s="14"/>
      <c r="O122" s="14"/>
      <c r="P122" s="15"/>
      <c r="Q122" s="5" t="s">
        <v>370</v>
      </c>
      <c r="R122" s="5" t="s">
        <v>471</v>
      </c>
      <c r="S122" s="5" t="s">
        <v>467</v>
      </c>
      <c r="T122">
        <f>G122+I122+K122+M122+O122</f>
        <v>12</v>
      </c>
      <c r="U122">
        <f>H122+J122+L122+N122+P122</f>
        <v>5</v>
      </c>
      <c r="V122" s="31">
        <f>T122/(T122+U122)</f>
        <v>0.70588235294117652</v>
      </c>
      <c r="W122" s="31">
        <f>G122/(G122+H122)</f>
        <v>0.66666666666666663</v>
      </c>
      <c r="X122" s="31">
        <f>I122/(I122+J122)</f>
        <v>0.75</v>
      </c>
      <c r="Y122" s="31" t="e">
        <f>K122/(K122+L122)</f>
        <v>#DIV/0!</v>
      </c>
      <c r="Z122" s="31" t="e">
        <f>M122/(M122+N122)</f>
        <v>#DIV/0!</v>
      </c>
      <c r="AA122" s="31" t="e">
        <f>O122/(O122+P122)</f>
        <v>#DIV/0!</v>
      </c>
      <c r="AC122">
        <f t="shared" si="1"/>
        <v>7</v>
      </c>
    </row>
    <row r="123" spans="1:29" x14ac:dyDescent="0.3">
      <c r="A123" s="9" t="s">
        <v>16</v>
      </c>
      <c r="B123" s="5" t="s">
        <v>309</v>
      </c>
      <c r="C123" s="7" t="s">
        <v>17</v>
      </c>
      <c r="D123" s="7" t="s">
        <v>488</v>
      </c>
      <c r="E123" s="7" t="s">
        <v>454</v>
      </c>
      <c r="F123" s="7" t="s">
        <v>19</v>
      </c>
      <c r="G123" s="13">
        <v>6</v>
      </c>
      <c r="H123" s="14">
        <v>0</v>
      </c>
      <c r="I123" s="14">
        <v>6</v>
      </c>
      <c r="J123" s="14">
        <v>4</v>
      </c>
      <c r="K123" s="14">
        <v>6</v>
      </c>
      <c r="L123" s="14">
        <v>4</v>
      </c>
      <c r="M123" s="14"/>
      <c r="N123" s="14"/>
      <c r="O123" s="14"/>
      <c r="P123" s="15"/>
      <c r="Q123" s="7" t="s">
        <v>18</v>
      </c>
      <c r="R123" s="7" t="s">
        <v>488</v>
      </c>
      <c r="S123" s="7" t="s">
        <v>454</v>
      </c>
      <c r="T123">
        <f>G123+I123+K123+M123+O123</f>
        <v>18</v>
      </c>
      <c r="U123">
        <f>H123+J123+L123+N123+P123</f>
        <v>8</v>
      </c>
      <c r="V123" s="31">
        <f>T123/(T123+U123)</f>
        <v>0.69230769230769229</v>
      </c>
      <c r="W123" s="31">
        <f>G123/(G123+H123)</f>
        <v>1</v>
      </c>
      <c r="X123" s="31">
        <f>I123/(I123+J123)</f>
        <v>0.6</v>
      </c>
      <c r="Y123" s="31">
        <f>K123/(K123+L123)</f>
        <v>0.6</v>
      </c>
      <c r="Z123" s="31" t="e">
        <f>M123/(M123+N123)</f>
        <v>#DIV/0!</v>
      </c>
      <c r="AA123" s="31" t="e">
        <f>O123/(O123+P123)</f>
        <v>#DIV/0!</v>
      </c>
    </row>
    <row r="124" spans="1:29" hidden="1" x14ac:dyDescent="0.3">
      <c r="A124" s="9" t="s">
        <v>163</v>
      </c>
      <c r="B124" s="5" t="s">
        <v>444</v>
      </c>
      <c r="C124" s="7" t="s">
        <v>366</v>
      </c>
      <c r="D124" s="7" t="s">
        <v>471</v>
      </c>
      <c r="E124" s="7" t="s">
        <v>467</v>
      </c>
      <c r="F124" s="7" t="s">
        <v>369</v>
      </c>
      <c r="G124" s="16">
        <v>6</v>
      </c>
      <c r="H124" s="17">
        <v>2</v>
      </c>
      <c r="I124" s="17">
        <v>6</v>
      </c>
      <c r="J124" s="17">
        <v>2</v>
      </c>
      <c r="K124" s="17"/>
      <c r="L124" s="17"/>
      <c r="M124" s="17"/>
      <c r="N124" s="17"/>
      <c r="O124" s="17"/>
      <c r="P124" s="18"/>
      <c r="Q124" s="7" t="s">
        <v>367</v>
      </c>
      <c r="R124" s="7" t="s">
        <v>471</v>
      </c>
      <c r="S124" s="7" t="s">
        <v>467</v>
      </c>
      <c r="T124">
        <f>G124+I124+K124+M124+O124</f>
        <v>12</v>
      </c>
      <c r="U124">
        <f>H124+J124+L124+N124+P124</f>
        <v>4</v>
      </c>
      <c r="V124" s="31">
        <f>T124/(T124+U124)</f>
        <v>0.75</v>
      </c>
      <c r="W124" s="31">
        <f>G124/(G124+H124)</f>
        <v>0.75</v>
      </c>
      <c r="X124" s="31">
        <f>I124/(I124+J124)</f>
        <v>0.75</v>
      </c>
      <c r="Y124" s="31" t="e">
        <f>K124/(K124+L124)</f>
        <v>#DIV/0!</v>
      </c>
      <c r="Z124" s="31" t="e">
        <f>M124/(M124+N124)</f>
        <v>#DIV/0!</v>
      </c>
      <c r="AA124" s="31" t="e">
        <f>O124/(O124+P124)</f>
        <v>#DIV/0!</v>
      </c>
      <c r="AC124">
        <f t="shared" si="1"/>
        <v>8</v>
      </c>
    </row>
    <row r="125" spans="1:29" x14ac:dyDescent="0.3">
      <c r="A125" s="8" t="s">
        <v>272</v>
      </c>
      <c r="B125" s="5" t="s">
        <v>309</v>
      </c>
      <c r="C125" s="5" t="s">
        <v>266</v>
      </c>
      <c r="D125" s="5" t="s">
        <v>480</v>
      </c>
      <c r="E125" s="5" t="s">
        <v>452</v>
      </c>
      <c r="F125" s="5" t="s">
        <v>274</v>
      </c>
      <c r="G125" s="16">
        <v>1</v>
      </c>
      <c r="H125" s="17">
        <v>6</v>
      </c>
      <c r="I125" s="17">
        <v>6</v>
      </c>
      <c r="J125" s="17">
        <v>3</v>
      </c>
      <c r="K125" s="17">
        <v>6</v>
      </c>
      <c r="L125" s="17">
        <v>4</v>
      </c>
      <c r="M125" s="17">
        <v>6</v>
      </c>
      <c r="N125" s="17">
        <v>4</v>
      </c>
      <c r="O125" s="17"/>
      <c r="P125" s="18"/>
      <c r="Q125" s="5" t="s">
        <v>273</v>
      </c>
      <c r="R125" s="5" t="s">
        <v>471</v>
      </c>
      <c r="S125" s="5" t="s">
        <v>467</v>
      </c>
      <c r="T125">
        <f>G125+I125+K125+M125+O125</f>
        <v>19</v>
      </c>
      <c r="U125">
        <f>H125+J125+L125+N125+P125</f>
        <v>17</v>
      </c>
      <c r="V125" s="31">
        <f>T125/(T125+U125)</f>
        <v>0.52777777777777779</v>
      </c>
      <c r="W125" s="31">
        <f>G125/(G125+H125)</f>
        <v>0.14285714285714285</v>
      </c>
      <c r="X125" s="31">
        <f>I125/(I125+J125)</f>
        <v>0.66666666666666663</v>
      </c>
      <c r="Y125" s="31">
        <f>K125/(K125+L125)</f>
        <v>0.6</v>
      </c>
      <c r="Z125" s="31">
        <f>M125/(M125+N125)</f>
        <v>0.6</v>
      </c>
      <c r="AA125" s="31" t="e">
        <f>O125/(O125+P125)</f>
        <v>#DIV/0!</v>
      </c>
    </row>
    <row r="126" spans="1:29" hidden="1" x14ac:dyDescent="0.3">
      <c r="A126" s="8" t="s">
        <v>161</v>
      </c>
      <c r="B126" s="5" t="s">
        <v>444</v>
      </c>
      <c r="C126" s="5" t="s">
        <v>366</v>
      </c>
      <c r="D126" s="5" t="s">
        <v>471</v>
      </c>
      <c r="E126" s="5" t="s">
        <v>467</v>
      </c>
      <c r="F126" s="5" t="s">
        <v>368</v>
      </c>
      <c r="G126" s="13">
        <v>6</v>
      </c>
      <c r="H126" s="14">
        <v>0</v>
      </c>
      <c r="I126" s="14">
        <v>6</v>
      </c>
      <c r="J126" s="14">
        <v>2</v>
      </c>
      <c r="K126" s="14"/>
      <c r="L126" s="14"/>
      <c r="M126" s="14"/>
      <c r="N126" s="14"/>
      <c r="O126" s="14"/>
      <c r="P126" s="15"/>
      <c r="Q126" s="5" t="s">
        <v>367</v>
      </c>
      <c r="R126" s="5" t="s">
        <v>471</v>
      </c>
      <c r="S126" s="5" t="s">
        <v>467</v>
      </c>
      <c r="T126">
        <f>G126+I126+K126+M126+O126</f>
        <v>12</v>
      </c>
      <c r="U126">
        <f>H126+J126+L126+N126+P126</f>
        <v>2</v>
      </c>
      <c r="V126" s="31">
        <f>T126/(T126+U126)</f>
        <v>0.8571428571428571</v>
      </c>
      <c r="W126" s="31">
        <f>G126/(G126+H126)</f>
        <v>1</v>
      </c>
      <c r="X126" s="31">
        <f>I126/(I126+J126)</f>
        <v>0.75</v>
      </c>
      <c r="Y126" s="31" t="e">
        <f>K126/(K126+L126)</f>
        <v>#DIV/0!</v>
      </c>
      <c r="Z126" s="31" t="e">
        <f>M126/(M126+N126)</f>
        <v>#DIV/0!</v>
      </c>
      <c r="AA126" s="31" t="e">
        <f>O126/(O126+P126)</f>
        <v>#DIV/0!</v>
      </c>
      <c r="AC126">
        <f t="shared" si="1"/>
        <v>10</v>
      </c>
    </row>
    <row r="127" spans="1:29" x14ac:dyDescent="0.3">
      <c r="A127" s="8" t="s">
        <v>256</v>
      </c>
      <c r="B127" s="5" t="s">
        <v>309</v>
      </c>
      <c r="C127" s="5" t="s">
        <v>257</v>
      </c>
      <c r="D127" s="5" t="s">
        <v>480</v>
      </c>
      <c r="E127" s="5" t="s">
        <v>452</v>
      </c>
      <c r="F127" s="5" t="s">
        <v>526</v>
      </c>
      <c r="G127" s="16">
        <v>4</v>
      </c>
      <c r="H127" s="17">
        <v>6</v>
      </c>
      <c r="I127" s="17">
        <v>6</v>
      </c>
      <c r="J127" s="17">
        <v>0</v>
      </c>
      <c r="K127" s="17">
        <v>6</v>
      </c>
      <c r="L127" s="17">
        <v>3</v>
      </c>
      <c r="M127" s="17">
        <v>7</v>
      </c>
      <c r="N127" s="17">
        <v>6</v>
      </c>
      <c r="O127" s="17"/>
      <c r="P127" s="18"/>
      <c r="Q127" s="5" t="s">
        <v>258</v>
      </c>
      <c r="R127" s="5" t="s">
        <v>482</v>
      </c>
      <c r="S127" s="5" t="s">
        <v>450</v>
      </c>
      <c r="T127">
        <f>G127+I127+K127+M127+O127</f>
        <v>23</v>
      </c>
      <c r="U127">
        <f>H127+J127+L127+N127+P127</f>
        <v>15</v>
      </c>
      <c r="V127" s="31">
        <f>T127/(T127+U127)</f>
        <v>0.60526315789473684</v>
      </c>
      <c r="W127" s="31">
        <f>G127/(G127+H127)</f>
        <v>0.4</v>
      </c>
      <c r="X127" s="31">
        <f>I127/(I127+J127)</f>
        <v>1</v>
      </c>
      <c r="Y127" s="31">
        <f>K127/(K127+L127)</f>
        <v>0.66666666666666663</v>
      </c>
      <c r="Z127" s="31">
        <f>M127/(M127+N127)</f>
        <v>0.53846153846153844</v>
      </c>
      <c r="AA127" s="31" t="e">
        <f>O127/(O127+P127)</f>
        <v>#DIV/0!</v>
      </c>
    </row>
    <row r="128" spans="1:29" hidden="1" x14ac:dyDescent="0.3">
      <c r="A128" s="9" t="s">
        <v>158</v>
      </c>
      <c r="B128" s="5" t="s">
        <v>444</v>
      </c>
      <c r="C128" s="7" t="s">
        <v>366</v>
      </c>
      <c r="D128" s="7" t="s">
        <v>471</v>
      </c>
      <c r="E128" s="7" t="s">
        <v>467</v>
      </c>
      <c r="F128" s="7" t="s">
        <v>331</v>
      </c>
      <c r="G128" s="16">
        <v>6</v>
      </c>
      <c r="H128" s="17">
        <v>1</v>
      </c>
      <c r="I128" s="17">
        <v>6</v>
      </c>
      <c r="J128" s="17">
        <v>4</v>
      </c>
      <c r="K128" s="17"/>
      <c r="L128" s="17"/>
      <c r="M128" s="17"/>
      <c r="N128" s="17"/>
      <c r="O128" s="17"/>
      <c r="P128" s="18"/>
      <c r="Q128" s="7" t="s">
        <v>367</v>
      </c>
      <c r="R128" s="7" t="s">
        <v>471</v>
      </c>
      <c r="S128" s="7" t="s">
        <v>467</v>
      </c>
      <c r="T128">
        <f>G128+I128+K128+M128+O128</f>
        <v>12</v>
      </c>
      <c r="U128">
        <f>H128+J128+L128+N128+P128</f>
        <v>5</v>
      </c>
      <c r="V128" s="31">
        <f>T128/(T128+U128)</f>
        <v>0.70588235294117652</v>
      </c>
      <c r="W128" s="31">
        <f>G128/(G128+H128)</f>
        <v>0.8571428571428571</v>
      </c>
      <c r="X128" s="31">
        <f>I128/(I128+J128)</f>
        <v>0.6</v>
      </c>
      <c r="Y128" s="31" t="e">
        <f>K128/(K128+L128)</f>
        <v>#DIV/0!</v>
      </c>
      <c r="Z128" s="31" t="e">
        <f>M128/(M128+N128)</f>
        <v>#DIV/0!</v>
      </c>
      <c r="AA128" s="31" t="e">
        <f>O128/(O128+P128)</f>
        <v>#DIV/0!</v>
      </c>
      <c r="AC128">
        <f t="shared" si="1"/>
        <v>7</v>
      </c>
    </row>
    <row r="129" spans="1:29" x14ac:dyDescent="0.3">
      <c r="A129" s="8">
        <v>2023</v>
      </c>
      <c r="B129" s="5" t="s">
        <v>309</v>
      </c>
      <c r="C129" s="5" t="s">
        <v>281</v>
      </c>
      <c r="D129" s="5" t="s">
        <v>472</v>
      </c>
      <c r="E129" s="5" t="s">
        <v>451</v>
      </c>
      <c r="F129" s="28" t="s">
        <v>554</v>
      </c>
      <c r="G129" s="16">
        <v>6</v>
      </c>
      <c r="H129" s="17">
        <v>3</v>
      </c>
      <c r="I129" s="17">
        <v>7</v>
      </c>
      <c r="J129" s="17">
        <v>6</v>
      </c>
      <c r="K129" s="17">
        <v>7</v>
      </c>
      <c r="L129" s="17">
        <v>6</v>
      </c>
      <c r="M129" s="17"/>
      <c r="N129" s="17"/>
      <c r="O129" s="17"/>
      <c r="P129" s="18"/>
      <c r="Q129" s="28" t="s">
        <v>558</v>
      </c>
      <c r="R129" s="28" t="s">
        <v>559</v>
      </c>
      <c r="S129" s="28" t="s">
        <v>560</v>
      </c>
      <c r="T129">
        <f>G129+I129+K129+M129+O129</f>
        <v>20</v>
      </c>
      <c r="U129">
        <f>H129+J129+L129+N129+P129</f>
        <v>15</v>
      </c>
      <c r="V129" s="31">
        <f>T129/(T129+U129)</f>
        <v>0.5714285714285714</v>
      </c>
      <c r="W129" s="31">
        <f>G129/(G129+H129)</f>
        <v>0.66666666666666663</v>
      </c>
      <c r="X129" s="31">
        <f>I129/(I129+J129)</f>
        <v>0.53846153846153844</v>
      </c>
      <c r="Y129" s="31">
        <f>K129/(K129+L129)</f>
        <v>0.53846153846153844</v>
      </c>
      <c r="Z129" s="31" t="e">
        <f>M129/(M129+N129)</f>
        <v>#DIV/0!</v>
      </c>
      <c r="AA129" s="31" t="e">
        <f>O129/(O129+P129)</f>
        <v>#DIV/0!</v>
      </c>
    </row>
    <row r="130" spans="1:29" hidden="1" x14ac:dyDescent="0.3">
      <c r="A130" s="8" t="s">
        <v>155</v>
      </c>
      <c r="B130" s="5" t="s">
        <v>444</v>
      </c>
      <c r="C130" s="5" t="s">
        <v>366</v>
      </c>
      <c r="D130" s="5" t="s">
        <v>471</v>
      </c>
      <c r="E130" s="5" t="s">
        <v>467</v>
      </c>
      <c r="F130" s="5" t="s">
        <v>320</v>
      </c>
      <c r="G130" s="13">
        <v>7</v>
      </c>
      <c r="H130" s="14">
        <v>5</v>
      </c>
      <c r="I130" s="14">
        <v>6</v>
      </c>
      <c r="J130" s="14">
        <v>2</v>
      </c>
      <c r="K130" s="14"/>
      <c r="L130" s="14"/>
      <c r="M130" s="14"/>
      <c r="N130" s="14"/>
      <c r="O130" s="14"/>
      <c r="P130" s="15"/>
      <c r="Q130" s="5" t="s">
        <v>367</v>
      </c>
      <c r="R130" s="5" t="s">
        <v>471</v>
      </c>
      <c r="S130" s="5" t="s">
        <v>467</v>
      </c>
      <c r="T130">
        <f>G130+I130+K130+M130+O130</f>
        <v>13</v>
      </c>
      <c r="U130">
        <f>H130+J130+L130+N130+P130</f>
        <v>7</v>
      </c>
      <c r="V130" s="31">
        <f>T130/(T130+U130)</f>
        <v>0.65</v>
      </c>
      <c r="W130" s="31">
        <f>G130/(G130+H130)</f>
        <v>0.58333333333333337</v>
      </c>
      <c r="X130" s="31">
        <f>I130/(I130+J130)</f>
        <v>0.75</v>
      </c>
      <c r="Y130" s="31" t="e">
        <f>K130/(K130+L130)</f>
        <v>#DIV/0!</v>
      </c>
      <c r="Z130" s="31" t="e">
        <f>M130/(M130+N130)</f>
        <v>#DIV/0!</v>
      </c>
      <c r="AA130" s="31" t="e">
        <f>O130/(O130+P130)</f>
        <v>#DIV/0!</v>
      </c>
      <c r="AC130">
        <f t="shared" si="1"/>
        <v>6</v>
      </c>
    </row>
    <row r="131" spans="1:29" x14ac:dyDescent="0.3">
      <c r="A131" s="8" t="s">
        <v>305</v>
      </c>
      <c r="B131" s="5" t="s">
        <v>309</v>
      </c>
      <c r="C131" s="5" t="s">
        <v>281</v>
      </c>
      <c r="D131" s="5" t="s">
        <v>472</v>
      </c>
      <c r="E131" s="5" t="s">
        <v>451</v>
      </c>
      <c r="F131" s="5" t="s">
        <v>307</v>
      </c>
      <c r="G131" s="16">
        <v>7</v>
      </c>
      <c r="H131" s="17">
        <v>5</v>
      </c>
      <c r="I131" s="17">
        <v>6</v>
      </c>
      <c r="J131" s="17">
        <v>2</v>
      </c>
      <c r="K131" s="17">
        <v>6</v>
      </c>
      <c r="L131" s="17">
        <v>2</v>
      </c>
      <c r="M131" s="17"/>
      <c r="N131" s="17"/>
      <c r="O131" s="17"/>
      <c r="P131" s="18"/>
      <c r="Q131" s="5" t="s">
        <v>306</v>
      </c>
      <c r="R131" s="5" t="s">
        <v>480</v>
      </c>
      <c r="S131" s="5" t="s">
        <v>452</v>
      </c>
      <c r="T131">
        <f>G131+I131+K131+M131+O131</f>
        <v>19</v>
      </c>
      <c r="U131">
        <f>H131+J131+L131+N131+P131</f>
        <v>9</v>
      </c>
      <c r="V131" s="31">
        <f>T131/(T131+U131)</f>
        <v>0.6785714285714286</v>
      </c>
      <c r="W131" s="31">
        <f>G131/(G131+H131)</f>
        <v>0.58333333333333337</v>
      </c>
      <c r="X131" s="31">
        <f>I131/(I131+J131)</f>
        <v>0.75</v>
      </c>
      <c r="Y131" s="31">
        <f>K131/(K131+L131)</f>
        <v>0.75</v>
      </c>
      <c r="Z131" s="31" t="e">
        <f>M131/(M131+N131)</f>
        <v>#DIV/0!</v>
      </c>
      <c r="AA131" s="31" t="e">
        <f>O131/(O131+P131)</f>
        <v>#DIV/0!</v>
      </c>
    </row>
    <row r="132" spans="1:29" hidden="1" x14ac:dyDescent="0.3">
      <c r="A132" s="9" t="s">
        <v>153</v>
      </c>
      <c r="B132" s="5" t="s">
        <v>444</v>
      </c>
      <c r="C132" s="7" t="s">
        <v>359</v>
      </c>
      <c r="D132" s="7" t="s">
        <v>471</v>
      </c>
      <c r="E132" s="7" t="s">
        <v>467</v>
      </c>
      <c r="F132" s="7" t="s">
        <v>354</v>
      </c>
      <c r="G132" s="16">
        <v>6</v>
      </c>
      <c r="H132" s="17">
        <v>2</v>
      </c>
      <c r="I132" s="17">
        <v>6</v>
      </c>
      <c r="J132" s="17">
        <v>3</v>
      </c>
      <c r="K132" s="17"/>
      <c r="L132" s="17"/>
      <c r="M132" s="17"/>
      <c r="N132" s="17"/>
      <c r="O132" s="17"/>
      <c r="P132" s="18"/>
      <c r="Q132" s="7" t="s">
        <v>365</v>
      </c>
      <c r="R132" s="7" t="s">
        <v>486</v>
      </c>
      <c r="S132" s="7" t="s">
        <v>453</v>
      </c>
      <c r="T132">
        <f>G132+I132+K132+M132+O132</f>
        <v>12</v>
      </c>
      <c r="U132">
        <f>H132+J132+L132+N132+P132</f>
        <v>5</v>
      </c>
      <c r="V132" s="31">
        <f>T132/(T132+U132)</f>
        <v>0.70588235294117652</v>
      </c>
      <c r="W132" s="31">
        <f>G132/(G132+H132)</f>
        <v>0.75</v>
      </c>
      <c r="X132" s="31">
        <f>I132/(I132+J132)</f>
        <v>0.66666666666666663</v>
      </c>
      <c r="Y132" s="31" t="e">
        <f>K132/(K132+L132)</f>
        <v>#DIV/0!</v>
      </c>
      <c r="Z132" s="31" t="e">
        <f>M132/(M132+N132)</f>
        <v>#DIV/0!</v>
      </c>
      <c r="AA132" s="31" t="e">
        <f>O132/(O132+P132)</f>
        <v>#DIV/0!</v>
      </c>
      <c r="AC132">
        <f t="shared" ref="AC131:AC194" si="2">T132-U132</f>
        <v>7</v>
      </c>
    </row>
    <row r="133" spans="1:29" x14ac:dyDescent="0.3">
      <c r="A133" s="9" t="s">
        <v>302</v>
      </c>
      <c r="B133" s="5" t="s">
        <v>309</v>
      </c>
      <c r="C133" s="7" t="s">
        <v>281</v>
      </c>
      <c r="D133" s="7" t="s">
        <v>472</v>
      </c>
      <c r="E133" s="10" t="s">
        <v>451</v>
      </c>
      <c r="F133" s="7" t="s">
        <v>304</v>
      </c>
      <c r="G133" s="13">
        <v>6</v>
      </c>
      <c r="H133" s="14">
        <v>4</v>
      </c>
      <c r="I133" s="14">
        <v>4</v>
      </c>
      <c r="J133" s="14">
        <v>6</v>
      </c>
      <c r="K133" s="14">
        <v>2</v>
      </c>
      <c r="L133" s="14">
        <v>6</v>
      </c>
      <c r="M133" s="14">
        <v>6</v>
      </c>
      <c r="N133" s="14">
        <v>3</v>
      </c>
      <c r="O133" s="14">
        <v>6</v>
      </c>
      <c r="P133" s="15">
        <v>4</v>
      </c>
      <c r="Q133" s="7" t="s">
        <v>303</v>
      </c>
      <c r="R133" s="7" t="s">
        <v>489</v>
      </c>
      <c r="S133" s="7" t="s">
        <v>502</v>
      </c>
      <c r="T133">
        <f>G133+I133+K133+M133+O133</f>
        <v>24</v>
      </c>
      <c r="U133">
        <f>H133+J133+L133+N133+P133</f>
        <v>23</v>
      </c>
      <c r="V133" s="31">
        <f>T133/(T133+U133)</f>
        <v>0.51063829787234039</v>
      </c>
      <c r="W133" s="31">
        <f>G133/(G133+H133)</f>
        <v>0.6</v>
      </c>
      <c r="X133" s="31">
        <f>I133/(I133+J133)</f>
        <v>0.4</v>
      </c>
      <c r="Y133" s="31">
        <f>K133/(K133+L133)</f>
        <v>0.25</v>
      </c>
      <c r="Z133" s="31">
        <f>M133/(M133+N133)</f>
        <v>0.66666666666666663</v>
      </c>
      <c r="AA133" s="31">
        <f>O133/(O133+P133)</f>
        <v>0.6</v>
      </c>
    </row>
    <row r="134" spans="1:29" hidden="1" x14ac:dyDescent="0.3">
      <c r="A134" s="8" t="s">
        <v>150</v>
      </c>
      <c r="B134" s="5" t="s">
        <v>444</v>
      </c>
      <c r="C134" s="5" t="s">
        <v>363</v>
      </c>
      <c r="D134" s="5" t="s">
        <v>464</v>
      </c>
      <c r="E134" s="5" t="s">
        <v>457</v>
      </c>
      <c r="F134" s="5" t="s">
        <v>350</v>
      </c>
      <c r="G134" s="13">
        <v>6</v>
      </c>
      <c r="H134" s="14">
        <v>3</v>
      </c>
      <c r="I134" s="14">
        <v>6</v>
      </c>
      <c r="J134" s="14">
        <v>4</v>
      </c>
      <c r="K134" s="14"/>
      <c r="L134" s="14"/>
      <c r="M134" s="14"/>
      <c r="N134" s="14"/>
      <c r="O134" s="14"/>
      <c r="P134" s="15"/>
      <c r="Q134" s="5" t="s">
        <v>364</v>
      </c>
      <c r="R134" s="5" t="s">
        <v>471</v>
      </c>
      <c r="S134" s="5" t="s">
        <v>467</v>
      </c>
      <c r="T134">
        <f>G134+I134+K134+M134+O134</f>
        <v>12</v>
      </c>
      <c r="U134">
        <f>H134+J134+L134+N134+P134</f>
        <v>7</v>
      </c>
      <c r="V134" s="31">
        <f>T134/(T134+U134)</f>
        <v>0.63157894736842102</v>
      </c>
      <c r="W134" s="31">
        <f>G134/(G134+H134)</f>
        <v>0.66666666666666663</v>
      </c>
      <c r="X134" s="31">
        <f>I134/(I134+J134)</f>
        <v>0.6</v>
      </c>
      <c r="Y134" s="31" t="e">
        <f>K134/(K134+L134)</f>
        <v>#DIV/0!</v>
      </c>
      <c r="Z134" s="31" t="e">
        <f>M134/(M134+N134)</f>
        <v>#DIV/0!</v>
      </c>
      <c r="AA134" s="31" t="e">
        <f>O134/(O134+P134)</f>
        <v>#DIV/0!</v>
      </c>
      <c r="AC134">
        <f t="shared" si="2"/>
        <v>5</v>
      </c>
    </row>
    <row r="135" spans="1:29" x14ac:dyDescent="0.3">
      <c r="A135" s="8" t="s">
        <v>300</v>
      </c>
      <c r="B135" s="5" t="s">
        <v>309</v>
      </c>
      <c r="C135" s="5" t="s">
        <v>281</v>
      </c>
      <c r="D135" s="5" t="s">
        <v>472</v>
      </c>
      <c r="E135" s="5" t="s">
        <v>451</v>
      </c>
      <c r="F135" s="5" t="s">
        <v>301</v>
      </c>
      <c r="G135" s="16">
        <v>6</v>
      </c>
      <c r="H135" s="17">
        <v>3</v>
      </c>
      <c r="I135" s="17">
        <v>6</v>
      </c>
      <c r="J135" s="17">
        <v>2</v>
      </c>
      <c r="K135" s="17">
        <v>6</v>
      </c>
      <c r="L135" s="17">
        <v>3</v>
      </c>
      <c r="M135" s="17"/>
      <c r="N135" s="17"/>
      <c r="O135" s="17"/>
      <c r="P135" s="18"/>
      <c r="Q135" s="5" t="s">
        <v>284</v>
      </c>
      <c r="R135" s="5" t="s">
        <v>470</v>
      </c>
      <c r="S135" s="5" t="s">
        <v>460</v>
      </c>
      <c r="T135">
        <f>G135+I135+K135+M135+O135</f>
        <v>18</v>
      </c>
      <c r="U135">
        <f>H135+J135+L135+N135+P135</f>
        <v>8</v>
      </c>
      <c r="V135" s="31">
        <f>T135/(T135+U135)</f>
        <v>0.69230769230769229</v>
      </c>
      <c r="W135" s="31">
        <f>G135/(G135+H135)</f>
        <v>0.66666666666666663</v>
      </c>
      <c r="X135" s="31">
        <f>I135/(I135+J135)</f>
        <v>0.75</v>
      </c>
      <c r="Y135" s="31">
        <f>K135/(K135+L135)</f>
        <v>0.66666666666666663</v>
      </c>
      <c r="Z135" s="31" t="e">
        <f>M135/(M135+N135)</f>
        <v>#DIV/0!</v>
      </c>
      <c r="AA135" s="31" t="e">
        <f>O135/(O135+P135)</f>
        <v>#DIV/0!</v>
      </c>
    </row>
    <row r="136" spans="1:29" hidden="1" x14ac:dyDescent="0.3">
      <c r="A136" s="9" t="s">
        <v>146</v>
      </c>
      <c r="B136" s="5" t="s">
        <v>444</v>
      </c>
      <c r="C136" s="7" t="s">
        <v>361</v>
      </c>
      <c r="D136" s="7" t="s">
        <v>474</v>
      </c>
      <c r="E136" s="7" t="s">
        <v>448</v>
      </c>
      <c r="F136" s="7" t="s">
        <v>350</v>
      </c>
      <c r="G136" s="16">
        <v>6</v>
      </c>
      <c r="H136" s="17">
        <v>3</v>
      </c>
      <c r="I136" s="17">
        <v>6</v>
      </c>
      <c r="J136" s="17">
        <v>4</v>
      </c>
      <c r="K136" s="17"/>
      <c r="L136" s="17"/>
      <c r="M136" s="17"/>
      <c r="N136" s="17"/>
      <c r="O136" s="17"/>
      <c r="P136" s="18"/>
      <c r="Q136" s="7" t="s">
        <v>362</v>
      </c>
      <c r="R136" s="7" t="s">
        <v>474</v>
      </c>
      <c r="S136" s="7" t="s">
        <v>448</v>
      </c>
      <c r="T136">
        <f>G136+I136+K136+M136+O136</f>
        <v>12</v>
      </c>
      <c r="U136">
        <f>H136+J136+L136+N136+P136</f>
        <v>7</v>
      </c>
      <c r="V136" s="31">
        <f>T136/(T136+U136)</f>
        <v>0.63157894736842102</v>
      </c>
      <c r="W136" s="31">
        <f>G136/(G136+H136)</f>
        <v>0.66666666666666663</v>
      </c>
      <c r="X136" s="31">
        <f>I136/(I136+J136)</f>
        <v>0.6</v>
      </c>
      <c r="Y136" s="31" t="e">
        <f>K136/(K136+L136)</f>
        <v>#DIV/0!</v>
      </c>
      <c r="Z136" s="31" t="e">
        <f>M136/(M136+N136)</f>
        <v>#DIV/0!</v>
      </c>
      <c r="AA136" s="31" t="e">
        <f>O136/(O136+P136)</f>
        <v>#DIV/0!</v>
      </c>
      <c r="AC136">
        <f t="shared" si="2"/>
        <v>5</v>
      </c>
    </row>
    <row r="137" spans="1:29" x14ac:dyDescent="0.3">
      <c r="A137" s="9" t="s">
        <v>295</v>
      </c>
      <c r="B137" s="5" t="s">
        <v>309</v>
      </c>
      <c r="C137" s="7" t="s">
        <v>281</v>
      </c>
      <c r="D137" s="7" t="s">
        <v>472</v>
      </c>
      <c r="E137" s="10" t="s">
        <v>451</v>
      </c>
      <c r="F137" s="7" t="s">
        <v>536</v>
      </c>
      <c r="G137" s="13">
        <v>6</v>
      </c>
      <c r="H137" s="14">
        <v>1</v>
      </c>
      <c r="I137" s="14">
        <v>7</v>
      </c>
      <c r="J137" s="14">
        <v>5</v>
      </c>
      <c r="K137" s="14">
        <v>7</v>
      </c>
      <c r="L137" s="14">
        <v>6</v>
      </c>
      <c r="M137" s="14"/>
      <c r="N137" s="14"/>
      <c r="O137" s="14"/>
      <c r="P137" s="15"/>
      <c r="Q137" s="7" t="s">
        <v>286</v>
      </c>
      <c r="R137" s="7" t="s">
        <v>464</v>
      </c>
      <c r="S137" s="7" t="s">
        <v>457</v>
      </c>
      <c r="T137">
        <f>G137+I137+K137+M137+O137</f>
        <v>20</v>
      </c>
      <c r="U137">
        <f>H137+J137+L137+N137+P137</f>
        <v>12</v>
      </c>
      <c r="V137" s="31">
        <f>T137/(T137+U137)</f>
        <v>0.625</v>
      </c>
      <c r="W137" s="31">
        <f>G137/(G137+H137)</f>
        <v>0.8571428571428571</v>
      </c>
      <c r="X137" s="31">
        <f>I137/(I137+J137)</f>
        <v>0.58333333333333337</v>
      </c>
      <c r="Y137" s="31">
        <f>K137/(K137+L137)</f>
        <v>0.53846153846153844</v>
      </c>
      <c r="Z137" s="31" t="e">
        <f>M137/(M137+N137)</f>
        <v>#DIV/0!</v>
      </c>
      <c r="AA137" s="31" t="e">
        <f>O137/(O137+P137)</f>
        <v>#DIV/0!</v>
      </c>
    </row>
    <row r="138" spans="1:29" hidden="1" x14ac:dyDescent="0.3">
      <c r="A138" s="8" t="s">
        <v>144</v>
      </c>
      <c r="B138" s="5" t="s">
        <v>444</v>
      </c>
      <c r="C138" s="5" t="s">
        <v>359</v>
      </c>
      <c r="D138" s="5" t="s">
        <v>471</v>
      </c>
      <c r="E138" s="5" t="s">
        <v>467</v>
      </c>
      <c r="F138" s="5" t="s">
        <v>360</v>
      </c>
      <c r="G138" s="13">
        <v>3</v>
      </c>
      <c r="H138" s="14">
        <v>6</v>
      </c>
      <c r="I138" s="14">
        <v>6</v>
      </c>
      <c r="J138" s="14">
        <v>2</v>
      </c>
      <c r="K138" s="14">
        <v>9</v>
      </c>
      <c r="L138" s="14">
        <v>7</v>
      </c>
      <c r="M138" s="14"/>
      <c r="N138" s="14"/>
      <c r="O138" s="14"/>
      <c r="P138" s="15"/>
      <c r="Q138" s="5" t="s">
        <v>344</v>
      </c>
      <c r="R138" s="5" t="s">
        <v>471</v>
      </c>
      <c r="S138" s="5" t="s">
        <v>467</v>
      </c>
      <c r="T138">
        <f>G138+I138+K138+M138+O138</f>
        <v>18</v>
      </c>
      <c r="U138">
        <f>H138+J138+L138+N138+P138</f>
        <v>15</v>
      </c>
      <c r="V138" s="31">
        <f>T138/(T138+U138)</f>
        <v>0.54545454545454541</v>
      </c>
      <c r="W138" s="31">
        <f>G138/(G138+H138)</f>
        <v>0.33333333333333331</v>
      </c>
      <c r="X138" s="31">
        <f>I138/(I138+J138)</f>
        <v>0.75</v>
      </c>
      <c r="Y138" s="31">
        <f>K138/(K138+L138)</f>
        <v>0.5625</v>
      </c>
      <c r="Z138" s="31" t="e">
        <f>M138/(M138+N138)</f>
        <v>#DIV/0!</v>
      </c>
      <c r="AA138" s="31" t="e">
        <f>O138/(O138+P138)</f>
        <v>#DIV/0!</v>
      </c>
      <c r="AC138">
        <f t="shared" si="2"/>
        <v>3</v>
      </c>
    </row>
    <row r="139" spans="1:29" x14ac:dyDescent="0.3">
      <c r="A139" s="8" t="s">
        <v>294</v>
      </c>
      <c r="B139" s="5" t="s">
        <v>309</v>
      </c>
      <c r="C139" s="5" t="s">
        <v>281</v>
      </c>
      <c r="D139" s="5" t="s">
        <v>472</v>
      </c>
      <c r="E139" s="5" t="s">
        <v>451</v>
      </c>
      <c r="F139" s="5" t="s">
        <v>535</v>
      </c>
      <c r="G139" s="16">
        <v>7</v>
      </c>
      <c r="H139" s="17">
        <v>6</v>
      </c>
      <c r="I139" s="17">
        <v>6</v>
      </c>
      <c r="J139" s="17">
        <v>7</v>
      </c>
      <c r="K139" s="17">
        <v>6</v>
      </c>
      <c r="L139" s="17">
        <v>3</v>
      </c>
      <c r="M139" s="17">
        <v>6</v>
      </c>
      <c r="N139" s="17">
        <v>0</v>
      </c>
      <c r="O139" s="17"/>
      <c r="P139" s="18"/>
      <c r="Q139" s="5" t="s">
        <v>286</v>
      </c>
      <c r="R139" s="5" t="s">
        <v>464</v>
      </c>
      <c r="S139" s="5" t="s">
        <v>457</v>
      </c>
      <c r="T139">
        <f>G139+I139+K139+M139+O139</f>
        <v>25</v>
      </c>
      <c r="U139">
        <f>H139+J139+L139+N139+P139</f>
        <v>16</v>
      </c>
      <c r="V139" s="31">
        <f>T139/(T139+U139)</f>
        <v>0.6097560975609756</v>
      </c>
      <c r="W139" s="31">
        <f>G139/(G139+H139)</f>
        <v>0.53846153846153844</v>
      </c>
      <c r="X139" s="31">
        <f>I139/(I139+J139)</f>
        <v>0.46153846153846156</v>
      </c>
      <c r="Y139" s="31">
        <f>K139/(K139+L139)</f>
        <v>0.66666666666666663</v>
      </c>
      <c r="Z139" s="31">
        <f>M139/(M139+N139)</f>
        <v>1</v>
      </c>
      <c r="AA139" s="31" t="e">
        <f>O139/(O139+P139)</f>
        <v>#DIV/0!</v>
      </c>
    </row>
    <row r="140" spans="1:29" hidden="1" x14ac:dyDescent="0.3">
      <c r="A140" s="9" t="s">
        <v>141</v>
      </c>
      <c r="B140" s="5" t="s">
        <v>444</v>
      </c>
      <c r="C140" s="7" t="s">
        <v>358</v>
      </c>
      <c r="D140" s="7" t="s">
        <v>471</v>
      </c>
      <c r="E140" s="7" t="s">
        <v>467</v>
      </c>
      <c r="F140" s="7" t="s">
        <v>330</v>
      </c>
      <c r="G140" s="16">
        <v>6</v>
      </c>
      <c r="H140" s="17">
        <v>4</v>
      </c>
      <c r="I140" s="17">
        <v>6</v>
      </c>
      <c r="J140" s="17">
        <v>3</v>
      </c>
      <c r="K140" s="17"/>
      <c r="L140" s="17"/>
      <c r="M140" s="17"/>
      <c r="N140" s="17"/>
      <c r="O140" s="17"/>
      <c r="P140" s="18"/>
      <c r="Q140" s="7" t="s">
        <v>344</v>
      </c>
      <c r="R140" s="7" t="s">
        <v>471</v>
      </c>
      <c r="S140" s="7" t="s">
        <v>467</v>
      </c>
      <c r="T140">
        <f>G140+I140+K140+M140+O140</f>
        <v>12</v>
      </c>
      <c r="U140">
        <f>H140+J140+L140+N140+P140</f>
        <v>7</v>
      </c>
      <c r="V140" s="31">
        <f>T140/(T140+U140)</f>
        <v>0.63157894736842102</v>
      </c>
      <c r="W140" s="31">
        <f>G140/(G140+H140)</f>
        <v>0.6</v>
      </c>
      <c r="X140" s="31">
        <f>I140/(I140+J140)</f>
        <v>0.66666666666666663</v>
      </c>
      <c r="Y140" s="31" t="e">
        <f>K140/(K140+L140)</f>
        <v>#DIV/0!</v>
      </c>
      <c r="Z140" s="31" t="e">
        <f>M140/(M140+N140)</f>
        <v>#DIV/0!</v>
      </c>
      <c r="AA140" s="31" t="e">
        <f>O140/(O140+P140)</f>
        <v>#DIV/0!</v>
      </c>
      <c r="AC140">
        <f t="shared" si="2"/>
        <v>5</v>
      </c>
    </row>
    <row r="141" spans="1:29" x14ac:dyDescent="0.3">
      <c r="A141" s="8" t="s">
        <v>290</v>
      </c>
      <c r="B141" s="5" t="s">
        <v>309</v>
      </c>
      <c r="C141" s="5" t="s">
        <v>281</v>
      </c>
      <c r="D141" s="5" t="s">
        <v>472</v>
      </c>
      <c r="E141" s="5" t="s">
        <v>451</v>
      </c>
      <c r="F141" s="5" t="s">
        <v>534</v>
      </c>
      <c r="G141" s="16">
        <v>6</v>
      </c>
      <c r="H141" s="17">
        <v>7</v>
      </c>
      <c r="I141" s="17">
        <v>7</v>
      </c>
      <c r="J141" s="17">
        <v>6</v>
      </c>
      <c r="K141" s="17">
        <v>6</v>
      </c>
      <c r="L141" s="17">
        <v>3</v>
      </c>
      <c r="M141" s="17">
        <v>6</v>
      </c>
      <c r="N141" s="17">
        <v>2</v>
      </c>
      <c r="O141" s="17"/>
      <c r="P141" s="18"/>
      <c r="Q141" s="5" t="s">
        <v>286</v>
      </c>
      <c r="R141" s="5" t="s">
        <v>464</v>
      </c>
      <c r="S141" s="5" t="s">
        <v>457</v>
      </c>
      <c r="T141">
        <f>G141+I141+K141+M141+O141</f>
        <v>25</v>
      </c>
      <c r="U141">
        <f>H141+J141+L141+N141+P141</f>
        <v>18</v>
      </c>
      <c r="V141" s="31">
        <f>T141/(T141+U141)</f>
        <v>0.58139534883720934</v>
      </c>
      <c r="W141" s="31">
        <f>G141/(G141+H141)</f>
        <v>0.46153846153846156</v>
      </c>
      <c r="X141" s="31">
        <f>I141/(I141+J141)</f>
        <v>0.53846153846153844</v>
      </c>
      <c r="Y141" s="31">
        <f>K141/(K141+L141)</f>
        <v>0.66666666666666663</v>
      </c>
      <c r="Z141" s="31">
        <f>M141/(M141+N141)</f>
        <v>0.75</v>
      </c>
      <c r="AA141" s="31" t="e">
        <f>O141/(O141+P141)</f>
        <v>#DIV/0!</v>
      </c>
    </row>
    <row r="142" spans="1:29" hidden="1" x14ac:dyDescent="0.3">
      <c r="A142" s="8" t="s">
        <v>138</v>
      </c>
      <c r="B142" s="5" t="s">
        <v>444</v>
      </c>
      <c r="C142" s="5" t="s">
        <v>344</v>
      </c>
      <c r="D142" s="5" t="s">
        <v>471</v>
      </c>
      <c r="E142" s="5" t="s">
        <v>467</v>
      </c>
      <c r="F142" s="5" t="s">
        <v>350</v>
      </c>
      <c r="G142" s="13">
        <v>6</v>
      </c>
      <c r="H142" s="14">
        <v>3</v>
      </c>
      <c r="I142" s="14">
        <v>6</v>
      </c>
      <c r="J142" s="14">
        <v>4</v>
      </c>
      <c r="K142" s="14"/>
      <c r="L142" s="14"/>
      <c r="M142" s="14"/>
      <c r="N142" s="14"/>
      <c r="O142" s="14"/>
      <c r="P142" s="15"/>
      <c r="Q142" s="5" t="s">
        <v>357</v>
      </c>
      <c r="R142" s="5" t="s">
        <v>471</v>
      </c>
      <c r="S142" s="5" t="s">
        <v>467</v>
      </c>
      <c r="T142">
        <f>G142+I142+K142+M142+O142</f>
        <v>12</v>
      </c>
      <c r="U142">
        <f>H142+J142+L142+N142+P142</f>
        <v>7</v>
      </c>
      <c r="V142" s="31">
        <f>T142/(T142+U142)</f>
        <v>0.63157894736842102</v>
      </c>
      <c r="W142" s="31">
        <f>G142/(G142+H142)</f>
        <v>0.66666666666666663</v>
      </c>
      <c r="X142" s="31">
        <f>I142/(I142+J142)</f>
        <v>0.6</v>
      </c>
      <c r="Y142" s="31" t="e">
        <f>K142/(K142+L142)</f>
        <v>#DIV/0!</v>
      </c>
      <c r="Z142" s="31" t="e">
        <f>M142/(M142+N142)</f>
        <v>#DIV/0!</v>
      </c>
      <c r="AA142" s="31" t="e">
        <f>O142/(O142+P142)</f>
        <v>#DIV/0!</v>
      </c>
      <c r="AC142">
        <f t="shared" si="2"/>
        <v>5</v>
      </c>
    </row>
    <row r="143" spans="1:29" x14ac:dyDescent="0.3">
      <c r="A143" s="9" t="s">
        <v>289</v>
      </c>
      <c r="B143" s="5" t="s">
        <v>309</v>
      </c>
      <c r="C143" s="7" t="s">
        <v>281</v>
      </c>
      <c r="D143" s="7" t="s">
        <v>472</v>
      </c>
      <c r="E143" s="10" t="s">
        <v>451</v>
      </c>
      <c r="F143" s="7" t="s">
        <v>533</v>
      </c>
      <c r="G143" s="13">
        <v>5</v>
      </c>
      <c r="H143" s="14">
        <v>7</v>
      </c>
      <c r="I143" s="14">
        <v>6</v>
      </c>
      <c r="J143" s="14">
        <v>4</v>
      </c>
      <c r="K143" s="14">
        <v>6</v>
      </c>
      <c r="L143" s="14">
        <v>2</v>
      </c>
      <c r="M143" s="14">
        <v>6</v>
      </c>
      <c r="N143" s="14">
        <v>7</v>
      </c>
      <c r="O143" s="14">
        <v>7</v>
      </c>
      <c r="P143" s="15">
        <v>5</v>
      </c>
      <c r="Q143" s="7" t="s">
        <v>284</v>
      </c>
      <c r="R143" s="7" t="s">
        <v>470</v>
      </c>
      <c r="S143" s="7" t="s">
        <v>460</v>
      </c>
      <c r="T143">
        <f>G143+I143+K143+M143+O143</f>
        <v>30</v>
      </c>
      <c r="U143">
        <f>H143+J143+L143+N143+P143</f>
        <v>25</v>
      </c>
      <c r="V143" s="31">
        <f>T143/(T143+U143)</f>
        <v>0.54545454545454541</v>
      </c>
      <c r="W143" s="31">
        <f>G143/(G143+H143)</f>
        <v>0.41666666666666669</v>
      </c>
      <c r="X143" s="31">
        <f>I143/(I143+J143)</f>
        <v>0.6</v>
      </c>
      <c r="Y143" s="31">
        <f>K143/(K143+L143)</f>
        <v>0.75</v>
      </c>
      <c r="Z143" s="31">
        <f>M143/(M143+N143)</f>
        <v>0.46153846153846156</v>
      </c>
      <c r="AA143" s="31">
        <f>O143/(O143+P143)</f>
        <v>0.58333333333333337</v>
      </c>
    </row>
    <row r="144" spans="1:29" hidden="1" x14ac:dyDescent="0.3">
      <c r="A144" s="9" t="s">
        <v>134</v>
      </c>
      <c r="B144" s="5" t="s">
        <v>444</v>
      </c>
      <c r="C144" s="7" t="s">
        <v>355</v>
      </c>
      <c r="D144" s="7" t="s">
        <v>474</v>
      </c>
      <c r="E144" s="7" t="s">
        <v>448</v>
      </c>
      <c r="F144" s="7" t="s">
        <v>341</v>
      </c>
      <c r="G144" s="16">
        <v>6</v>
      </c>
      <c r="H144" s="17">
        <v>3</v>
      </c>
      <c r="I144" s="17">
        <v>6</v>
      </c>
      <c r="J144" s="17">
        <v>2</v>
      </c>
      <c r="K144" s="17"/>
      <c r="L144" s="17"/>
      <c r="M144" s="17"/>
      <c r="N144" s="17"/>
      <c r="O144" s="17"/>
      <c r="P144" s="18"/>
      <c r="Q144" s="7" t="s">
        <v>356</v>
      </c>
      <c r="R144" s="7" t="s">
        <v>474</v>
      </c>
      <c r="S144" s="7" t="s">
        <v>448</v>
      </c>
      <c r="T144">
        <f>G144+I144+K144+M144+O144</f>
        <v>12</v>
      </c>
      <c r="U144">
        <f>H144+J144+L144+N144+P144</f>
        <v>5</v>
      </c>
      <c r="V144" s="31">
        <f>T144/(T144+U144)</f>
        <v>0.70588235294117652</v>
      </c>
      <c r="W144" s="31">
        <f>G144/(G144+H144)</f>
        <v>0.66666666666666663</v>
      </c>
      <c r="X144" s="31">
        <f>I144/(I144+J144)</f>
        <v>0.75</v>
      </c>
      <c r="Y144" s="31" t="e">
        <f>K144/(K144+L144)</f>
        <v>#DIV/0!</v>
      </c>
      <c r="Z144" s="31" t="e">
        <f>M144/(M144+N144)</f>
        <v>#DIV/0!</v>
      </c>
      <c r="AA144" s="31" t="e">
        <f>O144/(O144+P144)</f>
        <v>#DIV/0!</v>
      </c>
      <c r="AC144">
        <f t="shared" si="2"/>
        <v>7</v>
      </c>
    </row>
    <row r="145" spans="1:29" x14ac:dyDescent="0.3">
      <c r="A145" s="8" t="s">
        <v>287</v>
      </c>
      <c r="B145" s="5" t="s">
        <v>309</v>
      </c>
      <c r="C145" s="5" t="s">
        <v>281</v>
      </c>
      <c r="D145" s="5" t="s">
        <v>472</v>
      </c>
      <c r="E145" s="5" t="s">
        <v>451</v>
      </c>
      <c r="F145" s="5" t="s">
        <v>288</v>
      </c>
      <c r="G145" s="16">
        <v>6</v>
      </c>
      <c r="H145" s="17">
        <v>4</v>
      </c>
      <c r="I145" s="17">
        <v>6</v>
      </c>
      <c r="J145" s="17">
        <v>2</v>
      </c>
      <c r="K145" s="17">
        <v>6</v>
      </c>
      <c r="L145" s="17">
        <v>3</v>
      </c>
      <c r="M145" s="17"/>
      <c r="N145" s="17"/>
      <c r="O145" s="17"/>
      <c r="P145" s="18"/>
      <c r="Q145" s="5" t="s">
        <v>286</v>
      </c>
      <c r="R145" s="5" t="s">
        <v>464</v>
      </c>
      <c r="S145" s="5" t="s">
        <v>457</v>
      </c>
      <c r="T145">
        <f>G145+I145+K145+M145+O145</f>
        <v>18</v>
      </c>
      <c r="U145">
        <f>H145+J145+L145+N145+P145</f>
        <v>9</v>
      </c>
      <c r="V145" s="31">
        <f>T145/(T145+U145)</f>
        <v>0.66666666666666663</v>
      </c>
      <c r="W145" s="31">
        <f>G145/(G145+H145)</f>
        <v>0.6</v>
      </c>
      <c r="X145" s="31">
        <f>I145/(I145+J145)</f>
        <v>0.75</v>
      </c>
      <c r="Y145" s="31">
        <f>K145/(K145+L145)</f>
        <v>0.66666666666666663</v>
      </c>
      <c r="Z145" s="31" t="e">
        <f>M145/(M145+N145)</f>
        <v>#DIV/0!</v>
      </c>
      <c r="AA145" s="31" t="e">
        <f>O145/(O145+P145)</f>
        <v>#DIV/0!</v>
      </c>
    </row>
    <row r="146" spans="1:29" hidden="1" x14ac:dyDescent="0.3">
      <c r="A146" s="8" t="s">
        <v>132</v>
      </c>
      <c r="B146" s="5" t="s">
        <v>444</v>
      </c>
      <c r="C146" s="5" t="s">
        <v>344</v>
      </c>
      <c r="D146" s="5" t="s">
        <v>471</v>
      </c>
      <c r="E146" s="5" t="s">
        <v>467</v>
      </c>
      <c r="F146" s="5" t="s">
        <v>354</v>
      </c>
      <c r="G146" s="13">
        <v>6</v>
      </c>
      <c r="H146" s="14">
        <v>2</v>
      </c>
      <c r="I146" s="14">
        <v>6</v>
      </c>
      <c r="J146" s="14">
        <v>3</v>
      </c>
      <c r="K146" s="14"/>
      <c r="L146" s="14"/>
      <c r="M146" s="14"/>
      <c r="N146" s="14"/>
      <c r="O146" s="14"/>
      <c r="P146" s="15"/>
      <c r="Q146" s="5" t="s">
        <v>353</v>
      </c>
      <c r="R146" s="5" t="s">
        <v>471</v>
      </c>
      <c r="S146" s="5" t="s">
        <v>467</v>
      </c>
      <c r="T146">
        <f>G146+I146+K146+M146+O146</f>
        <v>12</v>
      </c>
      <c r="U146">
        <f>H146+J146+L146+N146+P146</f>
        <v>5</v>
      </c>
      <c r="V146" s="31">
        <f>T146/(T146+U146)</f>
        <v>0.70588235294117652</v>
      </c>
      <c r="W146" s="31">
        <f>G146/(G146+H146)</f>
        <v>0.75</v>
      </c>
      <c r="X146" s="31">
        <f>I146/(I146+J146)</f>
        <v>0.66666666666666663</v>
      </c>
      <c r="Y146" s="31" t="e">
        <f>K146/(K146+L146)</f>
        <v>#DIV/0!</v>
      </c>
      <c r="Z146" s="31" t="e">
        <f>M146/(M146+N146)</f>
        <v>#DIV/0!</v>
      </c>
      <c r="AA146" s="31" t="e">
        <f>O146/(O146+P146)</f>
        <v>#DIV/0!</v>
      </c>
      <c r="AC146">
        <f t="shared" si="2"/>
        <v>7</v>
      </c>
    </row>
    <row r="147" spans="1:29" x14ac:dyDescent="0.3">
      <c r="A147" s="9" t="s">
        <v>280</v>
      </c>
      <c r="B147" s="5" t="s">
        <v>309</v>
      </c>
      <c r="C147" s="7" t="s">
        <v>281</v>
      </c>
      <c r="D147" s="7" t="s">
        <v>472</v>
      </c>
      <c r="E147" s="10" t="s">
        <v>451</v>
      </c>
      <c r="F147" s="7" t="s">
        <v>530</v>
      </c>
      <c r="G147" s="13">
        <v>4</v>
      </c>
      <c r="H147" s="14">
        <v>6</v>
      </c>
      <c r="I147" s="14">
        <v>6</v>
      </c>
      <c r="J147" s="14">
        <v>4</v>
      </c>
      <c r="K147" s="14">
        <v>6</v>
      </c>
      <c r="L147" s="14">
        <v>3</v>
      </c>
      <c r="M147" s="14">
        <v>7</v>
      </c>
      <c r="N147" s="14">
        <v>6</v>
      </c>
      <c r="O147" s="14"/>
      <c r="P147" s="15"/>
      <c r="Q147" s="7" t="s">
        <v>282</v>
      </c>
      <c r="R147" s="7" t="s">
        <v>481</v>
      </c>
      <c r="S147" s="7" t="s">
        <v>459</v>
      </c>
      <c r="T147">
        <f>G147+I147+K147+M147+O147</f>
        <v>23</v>
      </c>
      <c r="U147">
        <f>H147+J147+L147+N147+P147</f>
        <v>19</v>
      </c>
      <c r="V147" s="31">
        <f>T147/(T147+U147)</f>
        <v>0.54761904761904767</v>
      </c>
      <c r="W147" s="31">
        <f>G147/(G147+H147)</f>
        <v>0.4</v>
      </c>
      <c r="X147" s="31">
        <f>I147/(I147+J147)</f>
        <v>0.6</v>
      </c>
      <c r="Y147" s="31">
        <f>K147/(K147+L147)</f>
        <v>0.66666666666666663</v>
      </c>
      <c r="Z147" s="31">
        <f>M147/(M147+N147)</f>
        <v>0.53846153846153844</v>
      </c>
      <c r="AA147" s="31" t="e">
        <f>O147/(O147+P147)</f>
        <v>#DIV/0!</v>
      </c>
    </row>
    <row r="148" spans="1:29" hidden="1" x14ac:dyDescent="0.3">
      <c r="A148" s="9" t="s">
        <v>129</v>
      </c>
      <c r="B148" s="5" t="s">
        <v>444</v>
      </c>
      <c r="C148" s="7" t="s">
        <v>335</v>
      </c>
      <c r="D148" s="7" t="s">
        <v>471</v>
      </c>
      <c r="E148" s="7" t="s">
        <v>467</v>
      </c>
      <c r="F148" s="7" t="s">
        <v>313</v>
      </c>
      <c r="G148" s="16">
        <v>6</v>
      </c>
      <c r="H148" s="17">
        <v>1</v>
      </c>
      <c r="I148" s="17">
        <v>7</v>
      </c>
      <c r="J148" s="17">
        <v>5</v>
      </c>
      <c r="K148" s="17"/>
      <c r="L148" s="17"/>
      <c r="M148" s="17"/>
      <c r="N148" s="17"/>
      <c r="O148" s="17"/>
      <c r="P148" s="18"/>
      <c r="Q148" s="7" t="s">
        <v>344</v>
      </c>
      <c r="R148" s="7" t="s">
        <v>471</v>
      </c>
      <c r="S148" s="7" t="s">
        <v>467</v>
      </c>
      <c r="T148">
        <f>G148+I148+K148+M148+O148</f>
        <v>13</v>
      </c>
      <c r="U148">
        <f>H148+J148+L148+N148+P148</f>
        <v>6</v>
      </c>
      <c r="V148" s="31">
        <f>T148/(T148+U148)</f>
        <v>0.68421052631578949</v>
      </c>
      <c r="W148" s="31">
        <f>G148/(G148+H148)</f>
        <v>0.8571428571428571</v>
      </c>
      <c r="X148" s="31">
        <f>I148/(I148+J148)</f>
        <v>0.58333333333333337</v>
      </c>
      <c r="Y148" s="31" t="e">
        <f>K148/(K148+L148)</f>
        <v>#DIV/0!</v>
      </c>
      <c r="Z148" s="31" t="e">
        <f>M148/(M148+N148)</f>
        <v>#DIV/0!</v>
      </c>
      <c r="AA148" s="31" t="e">
        <f>O148/(O148+P148)</f>
        <v>#DIV/0!</v>
      </c>
      <c r="AC148">
        <f t="shared" si="2"/>
        <v>7</v>
      </c>
    </row>
    <row r="149" spans="1:29" x14ac:dyDescent="0.3">
      <c r="A149" s="9" t="s">
        <v>213</v>
      </c>
      <c r="B149" s="5" t="s">
        <v>309</v>
      </c>
      <c r="C149" s="7" t="s">
        <v>214</v>
      </c>
      <c r="D149" s="7" t="s">
        <v>486</v>
      </c>
      <c r="E149" s="7" t="s">
        <v>453</v>
      </c>
      <c r="F149" s="7" t="s">
        <v>520</v>
      </c>
      <c r="G149" s="13">
        <v>6</v>
      </c>
      <c r="H149" s="14">
        <v>2</v>
      </c>
      <c r="I149" s="14">
        <v>7</v>
      </c>
      <c r="J149" s="14">
        <v>6</v>
      </c>
      <c r="K149" s="14">
        <v>6</v>
      </c>
      <c r="L149" s="14">
        <v>7</v>
      </c>
      <c r="M149" s="14">
        <v>6</v>
      </c>
      <c r="N149" s="14">
        <v>4</v>
      </c>
      <c r="O149" s="14"/>
      <c r="P149" s="15"/>
      <c r="Q149" s="7" t="s">
        <v>215</v>
      </c>
      <c r="R149" s="7" t="s">
        <v>474</v>
      </c>
      <c r="S149" s="7" t="s">
        <v>448</v>
      </c>
      <c r="T149">
        <f>G149+I149+K149+M149+O149</f>
        <v>25</v>
      </c>
      <c r="U149">
        <f>H149+J149+L149+N149+P149</f>
        <v>19</v>
      </c>
      <c r="V149" s="31">
        <f>T149/(T149+U149)</f>
        <v>0.56818181818181823</v>
      </c>
      <c r="W149" s="31">
        <f>G149/(G149+H149)</f>
        <v>0.75</v>
      </c>
      <c r="X149" s="31">
        <f>I149/(I149+J149)</f>
        <v>0.53846153846153844</v>
      </c>
      <c r="Y149" s="31">
        <f>K149/(K149+L149)</f>
        <v>0.46153846153846156</v>
      </c>
      <c r="Z149" s="31">
        <f>M149/(M149+N149)</f>
        <v>0.6</v>
      </c>
      <c r="AA149" s="31" t="e">
        <f>O149/(O149+P149)</f>
        <v>#DIV/0!</v>
      </c>
    </row>
    <row r="150" spans="1:29" hidden="1" x14ac:dyDescent="0.3">
      <c r="A150" s="8" t="s">
        <v>126</v>
      </c>
      <c r="B150" s="5" t="s">
        <v>444</v>
      </c>
      <c r="C150" s="5" t="s">
        <v>351</v>
      </c>
      <c r="D150" s="5" t="s">
        <v>474</v>
      </c>
      <c r="E150" s="11" t="s">
        <v>448</v>
      </c>
      <c r="F150" s="5" t="s">
        <v>352</v>
      </c>
      <c r="G150" s="13">
        <v>6</v>
      </c>
      <c r="H150" s="14">
        <v>4</v>
      </c>
      <c r="I150" s="14">
        <v>3</v>
      </c>
      <c r="J150" s="14">
        <v>6</v>
      </c>
      <c r="K150" s="14">
        <v>6</v>
      </c>
      <c r="L150" s="14">
        <v>4</v>
      </c>
      <c r="M150" s="14"/>
      <c r="N150" s="14"/>
      <c r="O150" s="14"/>
      <c r="P150" s="15"/>
      <c r="Q150" s="5" t="s">
        <v>349</v>
      </c>
      <c r="R150" s="5" t="s">
        <v>474</v>
      </c>
      <c r="S150" s="5" t="s">
        <v>448</v>
      </c>
      <c r="T150">
        <f>G150+I150+K150+M150+O150</f>
        <v>15</v>
      </c>
      <c r="U150">
        <f>H150+J150+L150+N150+P150</f>
        <v>14</v>
      </c>
      <c r="V150" s="31">
        <f>T150/(T150+U150)</f>
        <v>0.51724137931034486</v>
      </c>
      <c r="W150" s="31">
        <f>G150/(G150+H150)</f>
        <v>0.6</v>
      </c>
      <c r="X150" s="31">
        <f>I150/(I150+J150)</f>
        <v>0.33333333333333331</v>
      </c>
      <c r="Y150" s="31">
        <f>K150/(K150+L150)</f>
        <v>0.6</v>
      </c>
      <c r="Z150" s="31" t="e">
        <f>M150/(M150+N150)</f>
        <v>#DIV/0!</v>
      </c>
      <c r="AA150" s="31" t="e">
        <f>O150/(O150+P150)</f>
        <v>#DIV/0!</v>
      </c>
      <c r="AC150">
        <f t="shared" si="2"/>
        <v>1</v>
      </c>
    </row>
    <row r="151" spans="1:29" x14ac:dyDescent="0.3">
      <c r="A151" s="9" t="s">
        <v>308</v>
      </c>
      <c r="B151" s="5" t="s">
        <v>309</v>
      </c>
      <c r="C151" s="7" t="s">
        <v>284</v>
      </c>
      <c r="D151" s="7" t="s">
        <v>470</v>
      </c>
      <c r="E151" s="7" t="s">
        <v>460</v>
      </c>
      <c r="F151" s="7" t="s">
        <v>538</v>
      </c>
      <c r="G151" s="13">
        <v>2</v>
      </c>
      <c r="H151" s="14">
        <v>6</v>
      </c>
      <c r="I151" s="14">
        <v>6</v>
      </c>
      <c r="J151" s="14">
        <v>7</v>
      </c>
      <c r="K151" s="14">
        <v>6</v>
      </c>
      <c r="L151" s="14">
        <v>4</v>
      </c>
      <c r="M151" s="14">
        <v>6</v>
      </c>
      <c r="N151" s="14">
        <v>4</v>
      </c>
      <c r="O151" s="14">
        <v>7</v>
      </c>
      <c r="P151" s="15">
        <v>5</v>
      </c>
      <c r="Q151" s="7" t="s">
        <v>306</v>
      </c>
      <c r="R151" s="7" t="s">
        <v>480</v>
      </c>
      <c r="S151" s="7" t="s">
        <v>452</v>
      </c>
      <c r="T151">
        <f>G151+I151+K151+M151+O151</f>
        <v>27</v>
      </c>
      <c r="U151">
        <f>H151+J151+L151+N151+P151</f>
        <v>26</v>
      </c>
      <c r="V151" s="31">
        <f>T151/(T151+U151)</f>
        <v>0.50943396226415094</v>
      </c>
      <c r="W151" s="31">
        <f>G151/(G151+H151)</f>
        <v>0.25</v>
      </c>
      <c r="X151" s="31">
        <f>I151/(I151+J151)</f>
        <v>0.46153846153846156</v>
      </c>
      <c r="Y151" s="31">
        <f>K151/(K151+L151)</f>
        <v>0.6</v>
      </c>
      <c r="Z151" s="31">
        <f>M151/(M151+N151)</f>
        <v>0.6</v>
      </c>
      <c r="AA151" s="31">
        <f>O151/(O151+P151)</f>
        <v>0.58333333333333337</v>
      </c>
    </row>
    <row r="152" spans="1:29" hidden="1" x14ac:dyDescent="0.3">
      <c r="A152" s="9" t="s">
        <v>123</v>
      </c>
      <c r="B152" s="5" t="s">
        <v>444</v>
      </c>
      <c r="C152" s="7" t="s">
        <v>349</v>
      </c>
      <c r="D152" s="7" t="s">
        <v>474</v>
      </c>
      <c r="E152" s="7" t="s">
        <v>448</v>
      </c>
      <c r="F152" s="7" t="s">
        <v>350</v>
      </c>
      <c r="G152" s="16">
        <v>6</v>
      </c>
      <c r="H152" s="17">
        <v>3</v>
      </c>
      <c r="I152" s="17">
        <v>6</v>
      </c>
      <c r="J152" s="17">
        <v>4</v>
      </c>
      <c r="K152" s="17"/>
      <c r="L152" s="17"/>
      <c r="M152" s="17"/>
      <c r="N152" s="17"/>
      <c r="O152" s="17"/>
      <c r="P152" s="18"/>
      <c r="Q152" s="7" t="s">
        <v>335</v>
      </c>
      <c r="R152" s="7" t="s">
        <v>471</v>
      </c>
      <c r="S152" s="7" t="s">
        <v>467</v>
      </c>
      <c r="T152">
        <f>G152+I152+K152+M152+O152</f>
        <v>12</v>
      </c>
      <c r="U152">
        <f>H152+J152+L152+N152+P152</f>
        <v>7</v>
      </c>
      <c r="V152" s="31">
        <f>T152/(T152+U152)</f>
        <v>0.63157894736842102</v>
      </c>
      <c r="W152" s="31">
        <f>G152/(G152+H152)</f>
        <v>0.66666666666666663</v>
      </c>
      <c r="X152" s="31">
        <f>I152/(I152+J152)</f>
        <v>0.6</v>
      </c>
      <c r="Y152" s="31" t="e">
        <f>K152/(K152+L152)</f>
        <v>#DIV/0!</v>
      </c>
      <c r="Z152" s="31" t="e">
        <f>M152/(M152+N152)</f>
        <v>#DIV/0!</v>
      </c>
      <c r="AA152" s="31" t="e">
        <f>O152/(O152+P152)</f>
        <v>#DIV/0!</v>
      </c>
      <c r="AC152">
        <f t="shared" si="2"/>
        <v>5</v>
      </c>
    </row>
    <row r="153" spans="1:29" x14ac:dyDescent="0.3">
      <c r="A153" s="8" t="s">
        <v>283</v>
      </c>
      <c r="B153" s="5" t="s">
        <v>309</v>
      </c>
      <c r="C153" s="5" t="s">
        <v>284</v>
      </c>
      <c r="D153" s="5" t="s">
        <v>470</v>
      </c>
      <c r="E153" s="5" t="s">
        <v>460</v>
      </c>
      <c r="F153" s="5" t="s">
        <v>531</v>
      </c>
      <c r="G153" s="16">
        <v>7</v>
      </c>
      <c r="H153" s="17">
        <v>5</v>
      </c>
      <c r="I153" s="17">
        <v>3</v>
      </c>
      <c r="J153" s="17">
        <v>6</v>
      </c>
      <c r="K153" s="17">
        <v>7</v>
      </c>
      <c r="L153" s="17">
        <v>6</v>
      </c>
      <c r="M153" s="17">
        <v>3</v>
      </c>
      <c r="N153" s="17">
        <v>6</v>
      </c>
      <c r="O153" s="17">
        <v>6</v>
      </c>
      <c r="P153" s="18">
        <v>2</v>
      </c>
      <c r="Q153" s="5" t="s">
        <v>271</v>
      </c>
      <c r="R153" s="5" t="s">
        <v>476</v>
      </c>
      <c r="S153" s="5" t="s">
        <v>469</v>
      </c>
      <c r="T153">
        <f>G153+I153+K153+M153+O153</f>
        <v>26</v>
      </c>
      <c r="U153">
        <f>H153+J153+L153+N153+P153</f>
        <v>25</v>
      </c>
      <c r="V153" s="31">
        <f>T153/(T153+U153)</f>
        <v>0.50980392156862742</v>
      </c>
      <c r="W153" s="31">
        <f>G153/(G153+H153)</f>
        <v>0.58333333333333337</v>
      </c>
      <c r="X153" s="31">
        <f>I153/(I153+J153)</f>
        <v>0.33333333333333331</v>
      </c>
      <c r="Y153" s="31">
        <f>K153/(K153+L153)</f>
        <v>0.53846153846153844</v>
      </c>
      <c r="Z153" s="31">
        <f>M153/(M153+N153)</f>
        <v>0.33333333333333331</v>
      </c>
      <c r="AA153" s="31">
        <f>O153/(O153+P153)</f>
        <v>0.75</v>
      </c>
    </row>
    <row r="154" spans="1:29" hidden="1" x14ac:dyDescent="0.3">
      <c r="A154" s="8" t="s">
        <v>121</v>
      </c>
      <c r="B154" s="5" t="s">
        <v>444</v>
      </c>
      <c r="C154" s="5" t="s">
        <v>335</v>
      </c>
      <c r="D154" s="5" t="s">
        <v>471</v>
      </c>
      <c r="E154" s="5" t="s">
        <v>467</v>
      </c>
      <c r="F154" s="5" t="s">
        <v>348</v>
      </c>
      <c r="G154" s="13">
        <v>6</v>
      </c>
      <c r="H154" s="14">
        <v>3</v>
      </c>
      <c r="I154" s="14">
        <v>6</v>
      </c>
      <c r="J154" s="14">
        <v>1</v>
      </c>
      <c r="K154" s="14"/>
      <c r="L154" s="14"/>
      <c r="M154" s="14"/>
      <c r="N154" s="14"/>
      <c r="O154" s="14"/>
      <c r="P154" s="15"/>
      <c r="Q154" s="5" t="s">
        <v>347</v>
      </c>
      <c r="R154" s="5" t="s">
        <v>471</v>
      </c>
      <c r="S154" s="5" t="s">
        <v>467</v>
      </c>
      <c r="T154">
        <f>G154+I154+K154+M154+O154</f>
        <v>12</v>
      </c>
      <c r="U154">
        <f>H154+J154+L154+N154+P154</f>
        <v>4</v>
      </c>
      <c r="V154" s="31">
        <f>T154/(T154+U154)</f>
        <v>0.75</v>
      </c>
      <c r="W154" s="31">
        <f>G154/(G154+H154)</f>
        <v>0.66666666666666663</v>
      </c>
      <c r="X154" s="31">
        <f>I154/(I154+J154)</f>
        <v>0.8571428571428571</v>
      </c>
      <c r="Y154" s="31" t="e">
        <f>K154/(K154+L154)</f>
        <v>#DIV/0!</v>
      </c>
      <c r="Z154" s="31" t="e">
        <f>M154/(M154+N154)</f>
        <v>#DIV/0!</v>
      </c>
      <c r="AA154" s="31" t="e">
        <f>O154/(O154+P154)</f>
        <v>#DIV/0!</v>
      </c>
      <c r="AC154">
        <f t="shared" si="2"/>
        <v>8</v>
      </c>
    </row>
    <row r="155" spans="1:29" x14ac:dyDescent="0.3">
      <c r="A155" s="9" t="s">
        <v>264</v>
      </c>
      <c r="B155" s="5" t="s">
        <v>309</v>
      </c>
      <c r="C155" s="7" t="s">
        <v>265</v>
      </c>
      <c r="D155" s="7" t="s">
        <v>482</v>
      </c>
      <c r="E155" s="7" t="s">
        <v>450</v>
      </c>
      <c r="F155" s="7" t="s">
        <v>527</v>
      </c>
      <c r="G155" s="13">
        <v>3</v>
      </c>
      <c r="H155" s="14">
        <v>6</v>
      </c>
      <c r="I155" s="14">
        <v>6</v>
      </c>
      <c r="J155" s="14">
        <v>4</v>
      </c>
      <c r="K155" s="14">
        <v>6</v>
      </c>
      <c r="L155" s="14">
        <v>4</v>
      </c>
      <c r="M155" s="14">
        <v>7</v>
      </c>
      <c r="N155" s="14">
        <v>6</v>
      </c>
      <c r="O155" s="14"/>
      <c r="P155" s="15"/>
      <c r="Q155" s="7" t="s">
        <v>266</v>
      </c>
      <c r="R155" s="7" t="s">
        <v>480</v>
      </c>
      <c r="S155" s="7" t="s">
        <v>452</v>
      </c>
      <c r="T155">
        <f>G155+I155+K155+M155+O155</f>
        <v>22</v>
      </c>
      <c r="U155">
        <f>H155+J155+L155+N155+P155</f>
        <v>20</v>
      </c>
      <c r="V155" s="31">
        <f>T155/(T155+U155)</f>
        <v>0.52380952380952384</v>
      </c>
      <c r="W155" s="31">
        <f>G155/(G155+H155)</f>
        <v>0.33333333333333331</v>
      </c>
      <c r="X155" s="31">
        <f>I155/(I155+J155)</f>
        <v>0.6</v>
      </c>
      <c r="Y155" s="31">
        <f>K155/(K155+L155)</f>
        <v>0.6</v>
      </c>
      <c r="Z155" s="31">
        <f>M155/(M155+N155)</f>
        <v>0.53846153846153844</v>
      </c>
      <c r="AA155" s="31" t="e">
        <f>O155/(O155+P155)</f>
        <v>#DIV/0!</v>
      </c>
    </row>
    <row r="156" spans="1:29" hidden="1" x14ac:dyDescent="0.3">
      <c r="A156" s="9" t="s">
        <v>119</v>
      </c>
      <c r="B156" s="5" t="s">
        <v>444</v>
      </c>
      <c r="C156" s="7" t="s">
        <v>335</v>
      </c>
      <c r="D156" s="7" t="s">
        <v>471</v>
      </c>
      <c r="E156" s="7" t="s">
        <v>467</v>
      </c>
      <c r="F156" s="7" t="s">
        <v>341</v>
      </c>
      <c r="G156" s="16">
        <v>6</v>
      </c>
      <c r="H156" s="17">
        <v>3</v>
      </c>
      <c r="I156" s="17">
        <v>6</v>
      </c>
      <c r="J156" s="17">
        <v>2</v>
      </c>
      <c r="K156" s="17"/>
      <c r="L156" s="17"/>
      <c r="M156" s="17"/>
      <c r="N156" s="17"/>
      <c r="O156" s="17"/>
      <c r="P156" s="18"/>
      <c r="Q156" s="7" t="s">
        <v>342</v>
      </c>
      <c r="R156" s="7" t="s">
        <v>471</v>
      </c>
      <c r="S156" s="7" t="s">
        <v>467</v>
      </c>
      <c r="T156">
        <f>G156+I156+K156+M156+O156</f>
        <v>12</v>
      </c>
      <c r="U156">
        <f>H156+J156+L156+N156+P156</f>
        <v>5</v>
      </c>
      <c r="V156" s="31">
        <f>T156/(T156+U156)</f>
        <v>0.70588235294117652</v>
      </c>
      <c r="W156" s="31">
        <f>G156/(G156+H156)</f>
        <v>0.66666666666666663</v>
      </c>
      <c r="X156" s="31">
        <f>I156/(I156+J156)</f>
        <v>0.75</v>
      </c>
      <c r="Y156" s="31" t="e">
        <f>K156/(K156+L156)</f>
        <v>#DIV/0!</v>
      </c>
      <c r="Z156" s="31" t="e">
        <f>M156/(M156+N156)</f>
        <v>#DIV/0!</v>
      </c>
      <c r="AA156" s="31" t="e">
        <f>O156/(O156+P156)</f>
        <v>#DIV/0!</v>
      </c>
      <c r="AC156">
        <f t="shared" si="2"/>
        <v>7</v>
      </c>
    </row>
    <row r="157" spans="1:29" x14ac:dyDescent="0.3">
      <c r="A157" s="9" t="s">
        <v>229</v>
      </c>
      <c r="B157" s="5" t="s">
        <v>309</v>
      </c>
      <c r="C157" s="7" t="s">
        <v>219</v>
      </c>
      <c r="D157" s="7" t="s">
        <v>482</v>
      </c>
      <c r="E157" s="7" t="s">
        <v>450</v>
      </c>
      <c r="F157" s="7" t="s">
        <v>522</v>
      </c>
      <c r="G157" s="13">
        <v>6</v>
      </c>
      <c r="H157" s="14">
        <v>3</v>
      </c>
      <c r="I157" s="14">
        <v>6</v>
      </c>
      <c r="J157" s="14">
        <v>7</v>
      </c>
      <c r="K157" s="14">
        <v>3</v>
      </c>
      <c r="L157" s="14">
        <v>6</v>
      </c>
      <c r="M157" s="14">
        <v>6</v>
      </c>
      <c r="N157" s="14">
        <v>1</v>
      </c>
      <c r="O157" s="14">
        <v>8</v>
      </c>
      <c r="P157" s="15">
        <v>6</v>
      </c>
      <c r="Q157" s="7" t="s">
        <v>228</v>
      </c>
      <c r="R157" s="7" t="s">
        <v>471</v>
      </c>
      <c r="S157" s="7" t="s">
        <v>467</v>
      </c>
      <c r="T157">
        <f>G157+I157+K157+M157+O157</f>
        <v>29</v>
      </c>
      <c r="U157">
        <f>H157+J157+L157+N157+P157</f>
        <v>23</v>
      </c>
      <c r="V157" s="31">
        <f>T157/(T157+U157)</f>
        <v>0.55769230769230771</v>
      </c>
      <c r="W157" s="31">
        <f>G157/(G157+H157)</f>
        <v>0.66666666666666663</v>
      </c>
      <c r="X157" s="31">
        <f>I157/(I157+J157)</f>
        <v>0.46153846153846156</v>
      </c>
      <c r="Y157" s="31">
        <f>K157/(K157+L157)</f>
        <v>0.33333333333333331</v>
      </c>
      <c r="Z157" s="31">
        <f>M157/(M157+N157)</f>
        <v>0.8571428571428571</v>
      </c>
      <c r="AA157" s="31">
        <f>O157/(O157+P157)</f>
        <v>0.5714285714285714</v>
      </c>
    </row>
    <row r="158" spans="1:29" hidden="1" x14ac:dyDescent="0.3">
      <c r="A158" s="8" t="s">
        <v>116</v>
      </c>
      <c r="B158" s="5" t="s">
        <v>444</v>
      </c>
      <c r="C158" s="5" t="s">
        <v>335</v>
      </c>
      <c r="D158" s="5" t="s">
        <v>471</v>
      </c>
      <c r="E158" s="5" t="s">
        <v>467</v>
      </c>
      <c r="F158" s="5" t="s">
        <v>336</v>
      </c>
      <c r="G158" s="13">
        <v>6</v>
      </c>
      <c r="H158" s="14">
        <v>4</v>
      </c>
      <c r="I158" s="14">
        <v>6</v>
      </c>
      <c r="J158" s="14">
        <v>4</v>
      </c>
      <c r="K158" s="14"/>
      <c r="L158" s="14"/>
      <c r="M158" s="14"/>
      <c r="N158" s="14"/>
      <c r="O158" s="14"/>
      <c r="P158" s="15"/>
      <c r="Q158" s="5" t="s">
        <v>346</v>
      </c>
      <c r="R158" s="5" t="s">
        <v>471</v>
      </c>
      <c r="S158" s="5" t="s">
        <v>467</v>
      </c>
      <c r="T158">
        <f>G158+I158+K158+M158+O158</f>
        <v>12</v>
      </c>
      <c r="U158">
        <f>H158+J158+L158+N158+P158</f>
        <v>8</v>
      </c>
      <c r="V158" s="31">
        <f>T158/(T158+U158)</f>
        <v>0.6</v>
      </c>
      <c r="W158" s="31">
        <f>G158/(G158+H158)</f>
        <v>0.6</v>
      </c>
      <c r="X158" s="31">
        <f>I158/(I158+J158)</f>
        <v>0.6</v>
      </c>
      <c r="Y158" s="31" t="e">
        <f>K158/(K158+L158)</f>
        <v>#DIV/0!</v>
      </c>
      <c r="Z158" s="31" t="e">
        <f>M158/(M158+N158)</f>
        <v>#DIV/0!</v>
      </c>
      <c r="AA158" s="31" t="e">
        <f>O158/(O158+P158)</f>
        <v>#DIV/0!</v>
      </c>
      <c r="AC158">
        <f t="shared" si="2"/>
        <v>4</v>
      </c>
    </row>
    <row r="159" spans="1:29" x14ac:dyDescent="0.3">
      <c r="A159" s="8" t="s">
        <v>227</v>
      </c>
      <c r="B159" s="5" t="s">
        <v>309</v>
      </c>
      <c r="C159" s="5" t="s">
        <v>225</v>
      </c>
      <c r="D159" s="5" t="s">
        <v>482</v>
      </c>
      <c r="E159" s="11" t="s">
        <v>450</v>
      </c>
      <c r="F159" s="5" t="s">
        <v>69</v>
      </c>
      <c r="G159" s="16">
        <v>6</v>
      </c>
      <c r="H159" s="17">
        <v>3</v>
      </c>
      <c r="I159" s="17">
        <v>6</v>
      </c>
      <c r="J159" s="17">
        <v>4</v>
      </c>
      <c r="K159" s="17">
        <v>3</v>
      </c>
      <c r="L159" s="17">
        <v>6</v>
      </c>
      <c r="M159" s="17">
        <v>5</v>
      </c>
      <c r="N159" s="17">
        <v>7</v>
      </c>
      <c r="O159" s="17">
        <v>6</v>
      </c>
      <c r="P159" s="18">
        <v>3</v>
      </c>
      <c r="Q159" s="5" t="s">
        <v>228</v>
      </c>
      <c r="R159" s="5" t="s">
        <v>471</v>
      </c>
      <c r="S159" s="5" t="s">
        <v>467</v>
      </c>
      <c r="T159">
        <f>G159+I159+K159+M159+O159</f>
        <v>26</v>
      </c>
      <c r="U159">
        <f>H159+J159+L159+N159+P159</f>
        <v>23</v>
      </c>
      <c r="V159" s="31">
        <f>T159/(T159+U159)</f>
        <v>0.53061224489795922</v>
      </c>
      <c r="W159" s="31">
        <f>G159/(G159+H159)</f>
        <v>0.66666666666666663</v>
      </c>
      <c r="X159" s="31">
        <f>I159/(I159+J159)</f>
        <v>0.6</v>
      </c>
      <c r="Y159" s="31">
        <f>K159/(K159+L159)</f>
        <v>0.33333333333333331</v>
      </c>
      <c r="Z159" s="31">
        <f>M159/(M159+N159)</f>
        <v>0.41666666666666669</v>
      </c>
      <c r="AA159" s="31">
        <f>O159/(O159+P159)</f>
        <v>0.66666666666666663</v>
      </c>
    </row>
    <row r="160" spans="1:29" hidden="1" x14ac:dyDescent="0.3">
      <c r="A160" s="8" t="s">
        <v>114</v>
      </c>
      <c r="B160" s="5" t="s">
        <v>444</v>
      </c>
      <c r="C160" s="5" t="s">
        <v>335</v>
      </c>
      <c r="D160" s="5" t="s">
        <v>471</v>
      </c>
      <c r="E160" s="5" t="s">
        <v>467</v>
      </c>
      <c r="F160" s="5" t="s">
        <v>345</v>
      </c>
      <c r="G160" s="16">
        <v>5</v>
      </c>
      <c r="H160" s="17">
        <v>7</v>
      </c>
      <c r="I160" s="17">
        <v>6</v>
      </c>
      <c r="J160" s="17">
        <v>4</v>
      </c>
      <c r="K160" s="17">
        <v>6</v>
      </c>
      <c r="L160" s="17">
        <v>0</v>
      </c>
      <c r="M160" s="17"/>
      <c r="N160" s="17"/>
      <c r="O160" s="17"/>
      <c r="P160" s="18"/>
      <c r="Q160" s="5" t="s">
        <v>344</v>
      </c>
      <c r="R160" s="5" t="s">
        <v>471</v>
      </c>
      <c r="S160" s="5" t="s">
        <v>467</v>
      </c>
      <c r="T160">
        <f>G160+I160+K160+M160+O160</f>
        <v>17</v>
      </c>
      <c r="U160">
        <f>H160+J160+L160+N160+P160</f>
        <v>11</v>
      </c>
      <c r="V160" s="31">
        <f>T160/(T160+U160)</f>
        <v>0.6071428571428571</v>
      </c>
      <c r="W160" s="31">
        <f>G160/(G160+H160)</f>
        <v>0.41666666666666669</v>
      </c>
      <c r="X160" s="31">
        <f>I160/(I160+J160)</f>
        <v>0.6</v>
      </c>
      <c r="Y160" s="31">
        <f>K160/(K160+L160)</f>
        <v>1</v>
      </c>
      <c r="Z160" s="31" t="e">
        <f>M160/(M160+N160)</f>
        <v>#DIV/0!</v>
      </c>
      <c r="AA160" s="31" t="e">
        <f>O160/(O160+P160)</f>
        <v>#DIV/0!</v>
      </c>
      <c r="AC160">
        <f t="shared" si="2"/>
        <v>6</v>
      </c>
    </row>
    <row r="161" spans="1:29" x14ac:dyDescent="0.3">
      <c r="A161" s="9" t="s">
        <v>224</v>
      </c>
      <c r="B161" s="5" t="s">
        <v>309</v>
      </c>
      <c r="C161" s="7" t="s">
        <v>225</v>
      </c>
      <c r="D161" s="7" t="s">
        <v>482</v>
      </c>
      <c r="E161" s="7" t="s">
        <v>450</v>
      </c>
      <c r="F161" s="7" t="s">
        <v>226</v>
      </c>
      <c r="G161" s="13">
        <v>6</v>
      </c>
      <c r="H161" s="14">
        <v>4</v>
      </c>
      <c r="I161" s="14">
        <v>6</v>
      </c>
      <c r="J161" s="14">
        <v>3</v>
      </c>
      <c r="K161" s="14">
        <v>6</v>
      </c>
      <c r="L161" s="14">
        <v>3</v>
      </c>
      <c r="M161" s="14"/>
      <c r="N161" s="14"/>
      <c r="O161" s="14"/>
      <c r="P161" s="15"/>
      <c r="Q161" s="7" t="s">
        <v>219</v>
      </c>
      <c r="R161" s="7" t="s">
        <v>482</v>
      </c>
      <c r="S161" s="7" t="s">
        <v>450</v>
      </c>
      <c r="T161">
        <f>G161+I161+K161+M161+O161</f>
        <v>18</v>
      </c>
      <c r="U161">
        <f>H161+J161+L161+N161+P161</f>
        <v>10</v>
      </c>
      <c r="V161" s="31">
        <f>T161/(T161+U161)</f>
        <v>0.6428571428571429</v>
      </c>
      <c r="W161" s="31">
        <f>G161/(G161+H161)</f>
        <v>0.6</v>
      </c>
      <c r="X161" s="31">
        <f>I161/(I161+J161)</f>
        <v>0.66666666666666663</v>
      </c>
      <c r="Y161" s="31">
        <f>K161/(K161+L161)</f>
        <v>0.66666666666666663</v>
      </c>
      <c r="Z161" s="31" t="e">
        <f>M161/(M161+N161)</f>
        <v>#DIV/0!</v>
      </c>
      <c r="AA161" s="31" t="e">
        <f>O161/(O161+P161)</f>
        <v>#DIV/0!</v>
      </c>
    </row>
    <row r="162" spans="1:29" hidden="1" x14ac:dyDescent="0.3">
      <c r="A162" s="9" t="s">
        <v>112</v>
      </c>
      <c r="B162" s="5" t="s">
        <v>444</v>
      </c>
      <c r="C162" s="7" t="s">
        <v>337</v>
      </c>
      <c r="D162" s="7" t="s">
        <v>471</v>
      </c>
      <c r="E162" s="7" t="s">
        <v>467</v>
      </c>
      <c r="F162" s="7" t="s">
        <v>343</v>
      </c>
      <c r="G162" s="13">
        <v>6</v>
      </c>
      <c r="H162" s="14">
        <v>1</v>
      </c>
      <c r="I162" s="14">
        <v>6</v>
      </c>
      <c r="J162" s="14">
        <v>2</v>
      </c>
      <c r="K162" s="14"/>
      <c r="L162" s="14"/>
      <c r="M162" s="14"/>
      <c r="N162" s="14"/>
      <c r="O162" s="14"/>
      <c r="P162" s="15"/>
      <c r="Q162" s="7" t="s">
        <v>342</v>
      </c>
      <c r="R162" s="7" t="s">
        <v>471</v>
      </c>
      <c r="S162" s="7" t="s">
        <v>467</v>
      </c>
      <c r="T162">
        <f>G162+I162+K162+M162+O162</f>
        <v>12</v>
      </c>
      <c r="U162">
        <f>H162+J162+L162+N162+P162</f>
        <v>3</v>
      </c>
      <c r="V162" s="31">
        <f>T162/(T162+U162)</f>
        <v>0.8</v>
      </c>
      <c r="W162" s="31">
        <f>G162/(G162+H162)</f>
        <v>0.8571428571428571</v>
      </c>
      <c r="X162" s="31">
        <f>I162/(I162+J162)</f>
        <v>0.75</v>
      </c>
      <c r="Y162" s="31" t="e">
        <f>K162/(K162+L162)</f>
        <v>#DIV/0!</v>
      </c>
      <c r="Z162" s="31" t="e">
        <f>M162/(M162+N162)</f>
        <v>#DIV/0!</v>
      </c>
      <c r="AA162" s="31" t="e">
        <f>O162/(O162+P162)</f>
        <v>#DIV/0!</v>
      </c>
      <c r="AC162">
        <f t="shared" si="2"/>
        <v>9</v>
      </c>
    </row>
    <row r="163" spans="1:29" x14ac:dyDescent="0.3">
      <c r="A163" s="8" t="s">
        <v>222</v>
      </c>
      <c r="B163" s="5" t="s">
        <v>309</v>
      </c>
      <c r="C163" s="5" t="s">
        <v>219</v>
      </c>
      <c r="D163" s="5" t="s">
        <v>482</v>
      </c>
      <c r="E163" s="11" t="s">
        <v>450</v>
      </c>
      <c r="F163" s="5" t="s">
        <v>521</v>
      </c>
      <c r="G163" s="16">
        <v>6</v>
      </c>
      <c r="H163" s="17">
        <v>7</v>
      </c>
      <c r="I163" s="17">
        <v>6</v>
      </c>
      <c r="J163" s="17">
        <v>4</v>
      </c>
      <c r="K163" s="17">
        <v>7</v>
      </c>
      <c r="L163" s="17">
        <v>6</v>
      </c>
      <c r="M163" s="17">
        <v>6</v>
      </c>
      <c r="N163" s="17">
        <v>2</v>
      </c>
      <c r="O163" s="17"/>
      <c r="P163" s="18"/>
      <c r="Q163" s="5" t="s">
        <v>223</v>
      </c>
      <c r="R163" s="5" t="s">
        <v>486</v>
      </c>
      <c r="S163" s="5" t="s">
        <v>453</v>
      </c>
      <c r="T163">
        <f>G163+I163+K163+M163+O163</f>
        <v>25</v>
      </c>
      <c r="U163">
        <f>H163+J163+L163+N163+P163</f>
        <v>19</v>
      </c>
      <c r="V163" s="31">
        <f>T163/(T163+U163)</f>
        <v>0.56818181818181823</v>
      </c>
      <c r="W163" s="31">
        <f>G163/(G163+H163)</f>
        <v>0.46153846153846156</v>
      </c>
      <c r="X163" s="31">
        <f>I163/(I163+J163)</f>
        <v>0.6</v>
      </c>
      <c r="Y163" s="31">
        <f>K163/(K163+L163)</f>
        <v>0.53846153846153844</v>
      </c>
      <c r="Z163" s="31">
        <f>M163/(M163+N163)</f>
        <v>0.75</v>
      </c>
      <c r="AA163" s="31" t="e">
        <f>O163/(O163+P163)</f>
        <v>#DIV/0!</v>
      </c>
    </row>
    <row r="164" spans="1:29" hidden="1" x14ac:dyDescent="0.3">
      <c r="A164" s="8" t="s">
        <v>109</v>
      </c>
      <c r="B164" s="5" t="s">
        <v>444</v>
      </c>
      <c r="C164" s="5" t="s">
        <v>339</v>
      </c>
      <c r="D164" s="5" t="s">
        <v>474</v>
      </c>
      <c r="E164" s="11" t="s">
        <v>448</v>
      </c>
      <c r="F164" s="5" t="s">
        <v>341</v>
      </c>
      <c r="G164" s="16">
        <v>6</v>
      </c>
      <c r="H164" s="17">
        <v>3</v>
      </c>
      <c r="I164" s="17">
        <v>6</v>
      </c>
      <c r="J164" s="17">
        <v>2</v>
      </c>
      <c r="K164" s="17"/>
      <c r="L164" s="17"/>
      <c r="M164" s="17"/>
      <c r="N164" s="17"/>
      <c r="O164" s="17"/>
      <c r="P164" s="18"/>
      <c r="Q164" s="5" t="s">
        <v>340</v>
      </c>
      <c r="R164" s="5" t="s">
        <v>471</v>
      </c>
      <c r="S164" s="5" t="s">
        <v>467</v>
      </c>
      <c r="T164">
        <f>G164+I164+K164+M164+O164</f>
        <v>12</v>
      </c>
      <c r="U164">
        <f>H164+J164+L164+N164+P164</f>
        <v>5</v>
      </c>
      <c r="V164" s="31">
        <f>T164/(T164+U164)</f>
        <v>0.70588235294117652</v>
      </c>
      <c r="W164" s="31">
        <f>G164/(G164+H164)</f>
        <v>0.66666666666666663</v>
      </c>
      <c r="X164" s="31">
        <f>I164/(I164+J164)</f>
        <v>0.75</v>
      </c>
      <c r="Y164" s="31" t="e">
        <f>K164/(K164+L164)</f>
        <v>#DIV/0!</v>
      </c>
      <c r="Z164" s="31" t="e">
        <f>M164/(M164+N164)</f>
        <v>#DIV/0!</v>
      </c>
      <c r="AA164" s="31" t="e">
        <f>O164/(O164+P164)</f>
        <v>#DIV/0!</v>
      </c>
      <c r="AC164">
        <f t="shared" si="2"/>
        <v>7</v>
      </c>
    </row>
    <row r="165" spans="1:29" x14ac:dyDescent="0.3">
      <c r="A165" s="9" t="s">
        <v>218</v>
      </c>
      <c r="B165" s="5" t="s">
        <v>309</v>
      </c>
      <c r="C165" s="7" t="s">
        <v>219</v>
      </c>
      <c r="D165" s="7" t="s">
        <v>482</v>
      </c>
      <c r="E165" s="7" t="s">
        <v>450</v>
      </c>
      <c r="F165" s="7" t="s">
        <v>221</v>
      </c>
      <c r="G165" s="13">
        <v>6</v>
      </c>
      <c r="H165" s="14">
        <v>1</v>
      </c>
      <c r="I165" s="14">
        <v>6</v>
      </c>
      <c r="J165" s="14">
        <v>4</v>
      </c>
      <c r="K165" s="14">
        <v>6</v>
      </c>
      <c r="L165" s="14">
        <v>4</v>
      </c>
      <c r="M165" s="14"/>
      <c r="N165" s="14"/>
      <c r="O165" s="14"/>
      <c r="P165" s="15"/>
      <c r="Q165" s="7" t="s">
        <v>220</v>
      </c>
      <c r="R165" s="7" t="s">
        <v>485</v>
      </c>
      <c r="S165" s="7" t="s">
        <v>449</v>
      </c>
      <c r="T165">
        <f>G165+I165+K165+M165+O165</f>
        <v>18</v>
      </c>
      <c r="U165">
        <f>H165+J165+L165+N165+P165</f>
        <v>9</v>
      </c>
      <c r="V165" s="31">
        <f>T165/(T165+U165)</f>
        <v>0.66666666666666663</v>
      </c>
      <c r="W165" s="31">
        <f>G165/(G165+H165)</f>
        <v>0.8571428571428571</v>
      </c>
      <c r="X165" s="31">
        <f>I165/(I165+J165)</f>
        <v>0.6</v>
      </c>
      <c r="Y165" s="31">
        <f>K165/(K165+L165)</f>
        <v>0.6</v>
      </c>
      <c r="Z165" s="31" t="e">
        <f>M165/(M165+N165)</f>
        <v>#DIV/0!</v>
      </c>
      <c r="AA165" s="31" t="e">
        <f>O165/(O165+P165)</f>
        <v>#DIV/0!</v>
      </c>
    </row>
    <row r="166" spans="1:29" hidden="1" x14ac:dyDescent="0.3">
      <c r="A166" s="9" t="s">
        <v>105</v>
      </c>
      <c r="B166" s="5" t="s">
        <v>444</v>
      </c>
      <c r="C166" s="7" t="s">
        <v>335</v>
      </c>
      <c r="D166" s="7" t="s">
        <v>471</v>
      </c>
      <c r="E166" s="7" t="s">
        <v>467</v>
      </c>
      <c r="F166" s="7" t="s">
        <v>338</v>
      </c>
      <c r="G166" s="13">
        <v>6</v>
      </c>
      <c r="H166" s="14">
        <v>3</v>
      </c>
      <c r="I166" s="14">
        <v>5</v>
      </c>
      <c r="J166" s="14">
        <v>7</v>
      </c>
      <c r="K166" s="14">
        <v>6</v>
      </c>
      <c r="L166" s="14">
        <v>4</v>
      </c>
      <c r="M166" s="14"/>
      <c r="N166" s="14"/>
      <c r="O166" s="14"/>
      <c r="P166" s="15"/>
      <c r="Q166" s="7" t="s">
        <v>337</v>
      </c>
      <c r="R166" s="7" t="s">
        <v>471</v>
      </c>
      <c r="S166" s="7" t="s">
        <v>467</v>
      </c>
      <c r="T166">
        <f>G166+I166+K166+M166+O166</f>
        <v>17</v>
      </c>
      <c r="U166">
        <f>H166+J166+L166+N166+P166</f>
        <v>14</v>
      </c>
      <c r="V166" s="31">
        <f>T166/(T166+U166)</f>
        <v>0.54838709677419351</v>
      </c>
      <c r="W166" s="31">
        <f>G166/(G166+H166)</f>
        <v>0.66666666666666663</v>
      </c>
      <c r="X166" s="31">
        <f>I166/(I166+J166)</f>
        <v>0.41666666666666669</v>
      </c>
      <c r="Y166" s="31">
        <f>K166/(K166+L166)</f>
        <v>0.6</v>
      </c>
      <c r="Z166" s="31" t="e">
        <f>M166/(M166+N166)</f>
        <v>#DIV/0!</v>
      </c>
      <c r="AA166" s="31" t="e">
        <f>O166/(O166+P166)</f>
        <v>#DIV/0!</v>
      </c>
      <c r="AC166">
        <f t="shared" si="2"/>
        <v>3</v>
      </c>
    </row>
    <row r="167" spans="1:29" x14ac:dyDescent="0.3">
      <c r="A167" s="9" t="s">
        <v>298</v>
      </c>
      <c r="B167" s="5" t="s">
        <v>309</v>
      </c>
      <c r="C167" s="7" t="s">
        <v>271</v>
      </c>
      <c r="D167" s="7" t="s">
        <v>476</v>
      </c>
      <c r="E167" s="7" t="s">
        <v>469</v>
      </c>
      <c r="F167" s="7" t="s">
        <v>537</v>
      </c>
      <c r="G167" s="13">
        <v>6</v>
      </c>
      <c r="H167" s="14">
        <v>2</v>
      </c>
      <c r="I167" s="14">
        <v>6</v>
      </c>
      <c r="J167" s="14">
        <v>7</v>
      </c>
      <c r="K167" s="14">
        <v>6</v>
      </c>
      <c r="L167" s="14">
        <v>3</v>
      </c>
      <c r="M167" s="14">
        <v>3</v>
      </c>
      <c r="N167" s="14">
        <v>6</v>
      </c>
      <c r="O167" s="14">
        <v>6</v>
      </c>
      <c r="P167" s="15">
        <v>1</v>
      </c>
      <c r="Q167" s="7" t="s">
        <v>299</v>
      </c>
      <c r="R167" s="7" t="s">
        <v>491</v>
      </c>
      <c r="S167" s="7" t="s">
        <v>498</v>
      </c>
      <c r="T167">
        <f>G167+I167+K167+M167+O167</f>
        <v>27</v>
      </c>
      <c r="U167">
        <f>H167+J167+L167+N167+P167</f>
        <v>19</v>
      </c>
      <c r="V167" s="31">
        <f>T167/(T167+U167)</f>
        <v>0.58695652173913049</v>
      </c>
      <c r="W167" s="31">
        <f>G167/(G167+H167)</f>
        <v>0.75</v>
      </c>
      <c r="X167" s="31">
        <f>I167/(I167+J167)</f>
        <v>0.46153846153846156</v>
      </c>
      <c r="Y167" s="31">
        <f>K167/(K167+L167)</f>
        <v>0.66666666666666663</v>
      </c>
      <c r="Z167" s="31">
        <f>M167/(M167+N167)</f>
        <v>0.33333333333333331</v>
      </c>
      <c r="AA167" s="31">
        <f>O167/(O167+P167)</f>
        <v>0.8571428571428571</v>
      </c>
    </row>
    <row r="168" spans="1:29" hidden="1" x14ac:dyDescent="0.3">
      <c r="A168" s="8" t="s">
        <v>102</v>
      </c>
      <c r="B168" s="5" t="s">
        <v>444</v>
      </c>
      <c r="C168" s="5" t="s">
        <v>329</v>
      </c>
      <c r="D168" s="5" t="s">
        <v>471</v>
      </c>
      <c r="E168" s="5" t="s">
        <v>467</v>
      </c>
      <c r="F168" s="5" t="s">
        <v>336</v>
      </c>
      <c r="G168" s="16">
        <v>6</v>
      </c>
      <c r="H168" s="17">
        <v>4</v>
      </c>
      <c r="I168" s="17">
        <v>6</v>
      </c>
      <c r="J168" s="17">
        <v>4</v>
      </c>
      <c r="K168" s="17"/>
      <c r="L168" s="17"/>
      <c r="M168" s="17"/>
      <c r="N168" s="17"/>
      <c r="O168" s="17"/>
      <c r="P168" s="18"/>
      <c r="Q168" s="5" t="s">
        <v>335</v>
      </c>
      <c r="R168" s="5" t="s">
        <v>471</v>
      </c>
      <c r="S168" s="5" t="s">
        <v>467</v>
      </c>
      <c r="T168">
        <f>G168+I168+K168+M168+O168</f>
        <v>12</v>
      </c>
      <c r="U168">
        <f>H168+J168+L168+N168+P168</f>
        <v>8</v>
      </c>
      <c r="V168" s="31">
        <f>T168/(T168+U168)</f>
        <v>0.6</v>
      </c>
      <c r="W168" s="31">
        <f>G168/(G168+H168)</f>
        <v>0.6</v>
      </c>
      <c r="X168" s="31">
        <f>I168/(I168+J168)</f>
        <v>0.6</v>
      </c>
      <c r="Y168" s="31" t="e">
        <f>K168/(K168+L168)</f>
        <v>#DIV/0!</v>
      </c>
      <c r="Z168" s="31" t="e">
        <f>M168/(M168+N168)</f>
        <v>#DIV/0!</v>
      </c>
      <c r="AA168" s="31" t="e">
        <f>O168/(O168+P168)</f>
        <v>#DIV/0!</v>
      </c>
      <c r="AC168">
        <f t="shared" si="2"/>
        <v>4</v>
      </c>
    </row>
    <row r="169" spans="1:29" x14ac:dyDescent="0.3">
      <c r="A169" s="8" t="s">
        <v>296</v>
      </c>
      <c r="B169" s="5" t="s">
        <v>309</v>
      </c>
      <c r="C169" s="5" t="s">
        <v>271</v>
      </c>
      <c r="D169" s="5" t="s">
        <v>476</v>
      </c>
      <c r="E169" s="5" t="s">
        <v>469</v>
      </c>
      <c r="F169" s="5" t="s">
        <v>297</v>
      </c>
      <c r="G169" s="16">
        <v>6</v>
      </c>
      <c r="H169" s="17">
        <v>4</v>
      </c>
      <c r="I169" s="17">
        <v>3</v>
      </c>
      <c r="J169" s="17">
        <v>6</v>
      </c>
      <c r="K169" s="17">
        <v>6</v>
      </c>
      <c r="L169" s="17">
        <v>1</v>
      </c>
      <c r="M169" s="17">
        <v>3</v>
      </c>
      <c r="N169" s="17">
        <v>6</v>
      </c>
      <c r="O169" s="17">
        <v>6</v>
      </c>
      <c r="P169" s="18">
        <v>3</v>
      </c>
      <c r="Q169" s="5" t="s">
        <v>284</v>
      </c>
      <c r="R169" s="5" t="s">
        <v>470</v>
      </c>
      <c r="S169" s="5" t="s">
        <v>460</v>
      </c>
      <c r="T169">
        <f>G169+I169+K169+M169+O169</f>
        <v>24</v>
      </c>
      <c r="U169">
        <f>H169+J169+L169+N169+P169</f>
        <v>20</v>
      </c>
      <c r="V169" s="31">
        <f>T169/(T169+U169)</f>
        <v>0.54545454545454541</v>
      </c>
      <c r="W169" s="31">
        <f>G169/(G169+H169)</f>
        <v>0.6</v>
      </c>
      <c r="X169" s="31">
        <f>I169/(I169+J169)</f>
        <v>0.33333333333333331</v>
      </c>
      <c r="Y169" s="31">
        <f>K169/(K169+L169)</f>
        <v>0.8571428571428571</v>
      </c>
      <c r="Z169" s="31">
        <f>M169/(M169+N169)</f>
        <v>0.33333333333333331</v>
      </c>
      <c r="AA169" s="31">
        <f>O169/(O169+P169)</f>
        <v>0.66666666666666663</v>
      </c>
    </row>
    <row r="170" spans="1:29" hidden="1" x14ac:dyDescent="0.3">
      <c r="A170" s="9" t="s">
        <v>100</v>
      </c>
      <c r="B170" s="5" t="s">
        <v>444</v>
      </c>
      <c r="C170" s="7" t="s">
        <v>332</v>
      </c>
      <c r="D170" s="7" t="s">
        <v>464</v>
      </c>
      <c r="E170" s="7" t="s">
        <v>457</v>
      </c>
      <c r="F170" s="7" t="s">
        <v>334</v>
      </c>
      <c r="G170" s="13">
        <v>1</v>
      </c>
      <c r="H170" s="14">
        <v>6</v>
      </c>
      <c r="I170" s="14">
        <v>6</v>
      </c>
      <c r="J170" s="14">
        <v>1</v>
      </c>
      <c r="K170" s="14">
        <v>6</v>
      </c>
      <c r="L170" s="14">
        <v>3</v>
      </c>
      <c r="M170" s="14"/>
      <c r="N170" s="14"/>
      <c r="O170" s="14"/>
      <c r="P170" s="15"/>
      <c r="Q170" s="7" t="s">
        <v>333</v>
      </c>
      <c r="R170" s="7" t="s">
        <v>464</v>
      </c>
      <c r="S170" s="7" t="s">
        <v>457</v>
      </c>
      <c r="T170">
        <f>G170+I170+K170+M170+O170</f>
        <v>13</v>
      </c>
      <c r="U170">
        <f>H170+J170+L170+N170+P170</f>
        <v>10</v>
      </c>
      <c r="V170" s="31">
        <f>T170/(T170+U170)</f>
        <v>0.56521739130434778</v>
      </c>
      <c r="W170" s="31">
        <f>G170/(G170+H170)</f>
        <v>0.14285714285714285</v>
      </c>
      <c r="X170" s="31">
        <f>I170/(I170+J170)</f>
        <v>0.8571428571428571</v>
      </c>
      <c r="Y170" s="31">
        <f>K170/(K170+L170)</f>
        <v>0.66666666666666663</v>
      </c>
      <c r="Z170" s="31" t="e">
        <f>M170/(M170+N170)</f>
        <v>#DIV/0!</v>
      </c>
      <c r="AA170" s="31" t="e">
        <f>O170/(O170+P170)</f>
        <v>#DIV/0!</v>
      </c>
      <c r="AC170">
        <f t="shared" si="2"/>
        <v>3</v>
      </c>
    </row>
    <row r="171" spans="1:29" x14ac:dyDescent="0.3">
      <c r="A171" s="9" t="s">
        <v>291</v>
      </c>
      <c r="B171" s="5" t="s">
        <v>309</v>
      </c>
      <c r="C171" s="7" t="s">
        <v>292</v>
      </c>
      <c r="D171" s="7" t="s">
        <v>476</v>
      </c>
      <c r="E171" s="7" t="s">
        <v>469</v>
      </c>
      <c r="F171" s="7" t="s">
        <v>293</v>
      </c>
      <c r="G171" s="13">
        <v>6</v>
      </c>
      <c r="H171" s="14">
        <v>3</v>
      </c>
      <c r="I171" s="14">
        <v>6</v>
      </c>
      <c r="J171" s="14">
        <v>2</v>
      </c>
      <c r="K171" s="14">
        <v>3</v>
      </c>
      <c r="L171" s="14">
        <v>6</v>
      </c>
      <c r="M171" s="14">
        <v>6</v>
      </c>
      <c r="N171" s="14">
        <v>3</v>
      </c>
      <c r="O171" s="14"/>
      <c r="P171" s="15"/>
      <c r="Q171" s="7" t="s">
        <v>284</v>
      </c>
      <c r="R171" s="7" t="s">
        <v>470</v>
      </c>
      <c r="S171" s="7" t="s">
        <v>460</v>
      </c>
      <c r="T171">
        <f>G171+I171+K171+M171+O171</f>
        <v>21</v>
      </c>
      <c r="U171">
        <f>H171+J171+L171+N171+P171</f>
        <v>14</v>
      </c>
      <c r="V171" s="31">
        <f>T171/(T171+U171)</f>
        <v>0.6</v>
      </c>
      <c r="W171" s="31">
        <f>G171/(G171+H171)</f>
        <v>0.66666666666666663</v>
      </c>
      <c r="X171" s="31">
        <f>I171/(I171+J171)</f>
        <v>0.75</v>
      </c>
      <c r="Y171" s="31">
        <f>K171/(K171+L171)</f>
        <v>0.33333333333333331</v>
      </c>
      <c r="Z171" s="31">
        <f>M171/(M171+N171)</f>
        <v>0.66666666666666663</v>
      </c>
      <c r="AA171" s="31" t="e">
        <f>O171/(O171+P171)</f>
        <v>#DIV/0!</v>
      </c>
    </row>
    <row r="172" spans="1:29" hidden="1" x14ac:dyDescent="0.3">
      <c r="A172" s="8" t="s">
        <v>97</v>
      </c>
      <c r="B172" s="5" t="s">
        <v>444</v>
      </c>
      <c r="C172" s="5" t="s">
        <v>329</v>
      </c>
      <c r="D172" s="5" t="s">
        <v>471</v>
      </c>
      <c r="E172" s="5" t="s">
        <v>467</v>
      </c>
      <c r="F172" s="5" t="s">
        <v>331</v>
      </c>
      <c r="G172" s="16">
        <v>6</v>
      </c>
      <c r="H172" s="17">
        <v>1</v>
      </c>
      <c r="I172" s="17">
        <v>6</v>
      </c>
      <c r="J172" s="17">
        <v>4</v>
      </c>
      <c r="K172" s="17"/>
      <c r="L172" s="17"/>
      <c r="M172" s="17"/>
      <c r="N172" s="17"/>
      <c r="O172" s="17"/>
      <c r="P172" s="18"/>
      <c r="Q172" s="5" t="s">
        <v>310</v>
      </c>
      <c r="R172" s="5" t="s">
        <v>471</v>
      </c>
      <c r="S172" s="5" t="s">
        <v>467</v>
      </c>
      <c r="T172">
        <f>G172+I172+K172+M172+O172</f>
        <v>12</v>
      </c>
      <c r="U172">
        <f>H172+J172+L172+N172+P172</f>
        <v>5</v>
      </c>
      <c r="V172" s="31">
        <f>T172/(T172+U172)</f>
        <v>0.70588235294117652</v>
      </c>
      <c r="W172" s="31">
        <f>G172/(G172+H172)</f>
        <v>0.8571428571428571</v>
      </c>
      <c r="X172" s="31">
        <f>I172/(I172+J172)</f>
        <v>0.6</v>
      </c>
      <c r="Y172" s="31" t="e">
        <f>K172/(K172+L172)</f>
        <v>#DIV/0!</v>
      </c>
      <c r="Z172" s="31" t="e">
        <f>M172/(M172+N172)</f>
        <v>#DIV/0!</v>
      </c>
      <c r="AA172" s="31" t="e">
        <f>O172/(O172+P172)</f>
        <v>#DIV/0!</v>
      </c>
      <c r="AC172">
        <f t="shared" si="2"/>
        <v>7</v>
      </c>
    </row>
    <row r="173" spans="1:29" x14ac:dyDescent="0.3">
      <c r="A173" s="9" t="s">
        <v>285</v>
      </c>
      <c r="B173" s="5" t="s">
        <v>309</v>
      </c>
      <c r="C173" s="7" t="s">
        <v>271</v>
      </c>
      <c r="D173" s="7" t="s">
        <v>476</v>
      </c>
      <c r="E173" s="7" t="s">
        <v>469</v>
      </c>
      <c r="F173" s="7" t="s">
        <v>532</v>
      </c>
      <c r="G173" s="13">
        <v>6</v>
      </c>
      <c r="H173" s="14">
        <v>3</v>
      </c>
      <c r="I173" s="14">
        <v>6</v>
      </c>
      <c r="J173" s="14">
        <v>4</v>
      </c>
      <c r="K173" s="14">
        <v>7</v>
      </c>
      <c r="L173" s="14">
        <v>6</v>
      </c>
      <c r="M173" s="14"/>
      <c r="N173" s="14"/>
      <c r="O173" s="14"/>
      <c r="P173" s="15"/>
      <c r="Q173" s="7" t="s">
        <v>286</v>
      </c>
      <c r="R173" s="7" t="s">
        <v>464</v>
      </c>
      <c r="S173" s="7" t="s">
        <v>457</v>
      </c>
      <c r="T173">
        <f>G173+I173+K173+M173+O173</f>
        <v>19</v>
      </c>
      <c r="U173">
        <f>H173+J173+L173+N173+P173</f>
        <v>13</v>
      </c>
      <c r="V173" s="31">
        <f>T173/(T173+U173)</f>
        <v>0.59375</v>
      </c>
      <c r="W173" s="31">
        <f>G173/(G173+H173)</f>
        <v>0.66666666666666663</v>
      </c>
      <c r="X173" s="31">
        <f>I173/(I173+J173)</f>
        <v>0.6</v>
      </c>
      <c r="Y173" s="31">
        <f>K173/(K173+L173)</f>
        <v>0.53846153846153844</v>
      </c>
      <c r="Z173" s="31" t="e">
        <f>M173/(M173+N173)</f>
        <v>#DIV/0!</v>
      </c>
      <c r="AA173" s="31" t="e">
        <f>O173/(O173+P173)</f>
        <v>#DIV/0!</v>
      </c>
    </row>
    <row r="174" spans="1:29" hidden="1" x14ac:dyDescent="0.3">
      <c r="A174" s="9" t="s">
        <v>94</v>
      </c>
      <c r="B174" s="5" t="s">
        <v>444</v>
      </c>
      <c r="C174" s="7" t="s">
        <v>329</v>
      </c>
      <c r="D174" s="7" t="s">
        <v>471</v>
      </c>
      <c r="E174" s="7" t="s">
        <v>467</v>
      </c>
      <c r="F174" s="7" t="s">
        <v>330</v>
      </c>
      <c r="G174" s="13">
        <v>6</v>
      </c>
      <c r="H174" s="14">
        <v>4</v>
      </c>
      <c r="I174" s="14">
        <v>6</v>
      </c>
      <c r="J174" s="14">
        <v>3</v>
      </c>
      <c r="K174" s="14"/>
      <c r="L174" s="14"/>
      <c r="M174" s="14"/>
      <c r="N174" s="14"/>
      <c r="O174" s="14"/>
      <c r="P174" s="15"/>
      <c r="Q174" s="7" t="s">
        <v>324</v>
      </c>
      <c r="R174" s="7" t="s">
        <v>471</v>
      </c>
      <c r="S174" s="7" t="s">
        <v>467</v>
      </c>
      <c r="T174">
        <f>G174+I174+K174+M174+O174</f>
        <v>12</v>
      </c>
      <c r="U174">
        <f>H174+J174+L174+N174+P174</f>
        <v>7</v>
      </c>
      <c r="V174" s="31">
        <f>T174/(T174+U174)</f>
        <v>0.63157894736842102</v>
      </c>
      <c r="W174" s="31">
        <f>G174/(G174+H174)</f>
        <v>0.6</v>
      </c>
      <c r="X174" s="31">
        <f>I174/(I174+J174)</f>
        <v>0.66666666666666663</v>
      </c>
      <c r="Y174" s="31" t="e">
        <f>K174/(K174+L174)</f>
        <v>#DIV/0!</v>
      </c>
      <c r="Z174" s="31" t="e">
        <f>M174/(M174+N174)</f>
        <v>#DIV/0!</v>
      </c>
      <c r="AA174" s="31" t="e">
        <f>O174/(O174+P174)</f>
        <v>#DIV/0!</v>
      </c>
      <c r="AC174">
        <f t="shared" si="2"/>
        <v>5</v>
      </c>
    </row>
    <row r="175" spans="1:29" x14ac:dyDescent="0.3">
      <c r="A175" s="8" t="s">
        <v>278</v>
      </c>
      <c r="B175" s="5" t="s">
        <v>309</v>
      </c>
      <c r="C175" s="5" t="s">
        <v>271</v>
      </c>
      <c r="D175" s="5" t="s">
        <v>476</v>
      </c>
      <c r="E175" s="5" t="s">
        <v>469</v>
      </c>
      <c r="F175" s="5" t="s">
        <v>529</v>
      </c>
      <c r="G175" s="16">
        <v>7</v>
      </c>
      <c r="H175" s="17">
        <v>6</v>
      </c>
      <c r="I175" s="17">
        <v>6</v>
      </c>
      <c r="J175" s="17">
        <v>4</v>
      </c>
      <c r="K175" s="17">
        <v>6</v>
      </c>
      <c r="L175" s="17">
        <v>4</v>
      </c>
      <c r="M175" s="17"/>
      <c r="N175" s="17"/>
      <c r="O175" s="17"/>
      <c r="P175" s="18"/>
      <c r="Q175" s="5" t="s">
        <v>279</v>
      </c>
      <c r="R175" s="5" t="s">
        <v>493</v>
      </c>
      <c r="S175" s="5" t="s">
        <v>500</v>
      </c>
      <c r="T175">
        <f>G175+I175+K175+M175+O175</f>
        <v>19</v>
      </c>
      <c r="U175">
        <f>H175+J175+L175+N175+P175</f>
        <v>14</v>
      </c>
      <c r="V175" s="31">
        <f>T175/(T175+U175)</f>
        <v>0.5757575757575758</v>
      </c>
      <c r="W175" s="31">
        <f>G175/(G175+H175)</f>
        <v>0.53846153846153844</v>
      </c>
      <c r="X175" s="31">
        <f>I175/(I175+J175)</f>
        <v>0.6</v>
      </c>
      <c r="Y175" s="31">
        <f>K175/(K175+L175)</f>
        <v>0.6</v>
      </c>
      <c r="Z175" s="31" t="e">
        <f>M175/(M175+N175)</f>
        <v>#DIV/0!</v>
      </c>
      <c r="AA175" s="31" t="e">
        <f>O175/(O175+P175)</f>
        <v>#DIV/0!</v>
      </c>
    </row>
    <row r="176" spans="1:29" hidden="1" x14ac:dyDescent="0.3">
      <c r="A176" s="8" t="s">
        <v>92</v>
      </c>
      <c r="B176" s="5" t="s">
        <v>444</v>
      </c>
      <c r="C176" s="5" t="s">
        <v>324</v>
      </c>
      <c r="D176" s="5" t="s">
        <v>471</v>
      </c>
      <c r="E176" s="5" t="s">
        <v>467</v>
      </c>
      <c r="F176" s="5" t="s">
        <v>328</v>
      </c>
      <c r="G176" s="16">
        <v>9</v>
      </c>
      <c r="H176" s="17">
        <v>7</v>
      </c>
      <c r="I176" s="17">
        <v>6</v>
      </c>
      <c r="J176" s="17">
        <v>4</v>
      </c>
      <c r="K176" s="17"/>
      <c r="L176" s="17"/>
      <c r="M176" s="17"/>
      <c r="N176" s="17"/>
      <c r="O176" s="17"/>
      <c r="P176" s="18"/>
      <c r="Q176" s="5" t="s">
        <v>327</v>
      </c>
      <c r="R176" s="5" t="s">
        <v>471</v>
      </c>
      <c r="S176" s="5" t="s">
        <v>467</v>
      </c>
      <c r="T176">
        <f>G176+I176+K176+M176+O176</f>
        <v>15</v>
      </c>
      <c r="U176">
        <f>H176+J176+L176+N176+P176</f>
        <v>11</v>
      </c>
      <c r="V176" s="31">
        <f>T176/(T176+U176)</f>
        <v>0.57692307692307687</v>
      </c>
      <c r="W176" s="31">
        <f>G176/(G176+H176)</f>
        <v>0.5625</v>
      </c>
      <c r="X176" s="31">
        <f>I176/(I176+J176)</f>
        <v>0.6</v>
      </c>
      <c r="Y176" s="31" t="e">
        <f>K176/(K176+L176)</f>
        <v>#DIV/0!</v>
      </c>
      <c r="Z176" s="31" t="e">
        <f>M176/(M176+N176)</f>
        <v>#DIV/0!</v>
      </c>
      <c r="AA176" s="31" t="e">
        <f>O176/(O176+P176)</f>
        <v>#DIV/0!</v>
      </c>
      <c r="AC176">
        <f t="shared" si="2"/>
        <v>4</v>
      </c>
    </row>
    <row r="177" spans="1:29" x14ac:dyDescent="0.3">
      <c r="A177" s="9" t="s">
        <v>275</v>
      </c>
      <c r="B177" s="5" t="s">
        <v>309</v>
      </c>
      <c r="C177" s="7" t="s">
        <v>271</v>
      </c>
      <c r="D177" s="7" t="s">
        <v>476</v>
      </c>
      <c r="E177" s="7" t="s">
        <v>469</v>
      </c>
      <c r="F177" s="7" t="s">
        <v>277</v>
      </c>
      <c r="G177" s="13">
        <v>5</v>
      </c>
      <c r="H177" s="14">
        <v>7</v>
      </c>
      <c r="I177" s="14">
        <v>7</v>
      </c>
      <c r="J177" s="14">
        <v>5</v>
      </c>
      <c r="K177" s="14">
        <v>6</v>
      </c>
      <c r="L177" s="14">
        <v>0</v>
      </c>
      <c r="M177" s="14">
        <v>6</v>
      </c>
      <c r="N177" s="14">
        <v>2</v>
      </c>
      <c r="O177" s="14"/>
      <c r="P177" s="15"/>
      <c r="Q177" s="7" t="s">
        <v>276</v>
      </c>
      <c r="R177" s="7" t="s">
        <v>494</v>
      </c>
      <c r="S177" s="7" t="s">
        <v>499</v>
      </c>
      <c r="T177">
        <f>G177+I177+K177+M177+O177</f>
        <v>24</v>
      </c>
      <c r="U177">
        <f>H177+J177+L177+N177+P177</f>
        <v>14</v>
      </c>
      <c r="V177" s="31">
        <f>T177/(T177+U177)</f>
        <v>0.63157894736842102</v>
      </c>
      <c r="W177" s="31">
        <f>G177/(G177+H177)</f>
        <v>0.41666666666666669</v>
      </c>
      <c r="X177" s="31">
        <f>I177/(I177+J177)</f>
        <v>0.58333333333333337</v>
      </c>
      <c r="Y177" s="31">
        <f>K177/(K177+L177)</f>
        <v>1</v>
      </c>
      <c r="Z177" s="31">
        <f>M177/(M177+N177)</f>
        <v>0.75</v>
      </c>
      <c r="AA177" s="31" t="e">
        <f>O177/(O177+P177)</f>
        <v>#DIV/0!</v>
      </c>
    </row>
    <row r="178" spans="1:29" hidden="1" x14ac:dyDescent="0.3">
      <c r="A178" s="9" t="s">
        <v>89</v>
      </c>
      <c r="B178" s="5" t="s">
        <v>444</v>
      </c>
      <c r="C178" s="7" t="s">
        <v>324</v>
      </c>
      <c r="D178" s="7" t="s">
        <v>471</v>
      </c>
      <c r="E178" s="7" t="s">
        <v>467</v>
      </c>
      <c r="F178" s="7" t="s">
        <v>326</v>
      </c>
      <c r="G178" s="13">
        <v>1</v>
      </c>
      <c r="H178" s="14">
        <v>6</v>
      </c>
      <c r="I178" s="14">
        <v>6</v>
      </c>
      <c r="J178" s="14">
        <v>3</v>
      </c>
      <c r="K178" s="14">
        <v>6</v>
      </c>
      <c r="L178" s="14">
        <v>4</v>
      </c>
      <c r="M178" s="14"/>
      <c r="N178" s="14"/>
      <c r="O178" s="14"/>
      <c r="P178" s="15"/>
      <c r="Q178" s="7" t="s">
        <v>325</v>
      </c>
      <c r="R178" s="7" t="s">
        <v>471</v>
      </c>
      <c r="S178" s="7" t="s">
        <v>467</v>
      </c>
      <c r="T178">
        <f>G178+I178+K178+M178+O178</f>
        <v>13</v>
      </c>
      <c r="U178">
        <f>H178+J178+L178+N178+P178</f>
        <v>13</v>
      </c>
      <c r="V178" s="31">
        <f>T178/(T178+U178)</f>
        <v>0.5</v>
      </c>
      <c r="W178" s="31">
        <f>G178/(G178+H178)</f>
        <v>0.14285714285714285</v>
      </c>
      <c r="X178" s="31">
        <f>I178/(I178+J178)</f>
        <v>0.66666666666666663</v>
      </c>
      <c r="Y178" s="31">
        <f>K178/(K178+L178)</f>
        <v>0.6</v>
      </c>
      <c r="Z178" s="31" t="e">
        <f>M178/(M178+N178)</f>
        <v>#DIV/0!</v>
      </c>
      <c r="AA178" s="31" t="e">
        <f>O178/(O178+P178)</f>
        <v>#DIV/0!</v>
      </c>
      <c r="AC178">
        <f t="shared" si="2"/>
        <v>0</v>
      </c>
    </row>
    <row r="179" spans="1:29" x14ac:dyDescent="0.3">
      <c r="A179" s="9" t="s">
        <v>270</v>
      </c>
      <c r="B179" s="5" t="s">
        <v>309</v>
      </c>
      <c r="C179" s="7" t="s">
        <v>271</v>
      </c>
      <c r="D179" s="7" t="s">
        <v>476</v>
      </c>
      <c r="E179" s="7" t="s">
        <v>469</v>
      </c>
      <c r="F179" s="7" t="s">
        <v>528</v>
      </c>
      <c r="G179" s="13">
        <v>7</v>
      </c>
      <c r="H179" s="14">
        <v>6</v>
      </c>
      <c r="I179" s="14">
        <v>6</v>
      </c>
      <c r="J179" s="14">
        <v>4</v>
      </c>
      <c r="K179" s="14">
        <v>6</v>
      </c>
      <c r="L179" s="14">
        <v>2</v>
      </c>
      <c r="M179" s="14"/>
      <c r="N179" s="14"/>
      <c r="O179" s="14"/>
      <c r="P179" s="15"/>
      <c r="Q179" s="7" t="s">
        <v>266</v>
      </c>
      <c r="R179" s="7" t="s">
        <v>480</v>
      </c>
      <c r="S179" s="7" t="s">
        <v>452</v>
      </c>
      <c r="T179">
        <f>G179+I179+K179+M179+O179</f>
        <v>19</v>
      </c>
      <c r="U179">
        <f>H179+J179+L179+N179+P179</f>
        <v>12</v>
      </c>
      <c r="V179" s="31">
        <f>T179/(T179+U179)</f>
        <v>0.61290322580645162</v>
      </c>
      <c r="W179" s="31">
        <f>G179/(G179+H179)</f>
        <v>0.53846153846153844</v>
      </c>
      <c r="X179" s="31">
        <f>I179/(I179+J179)</f>
        <v>0.6</v>
      </c>
      <c r="Y179" s="31">
        <f>K179/(K179+L179)</f>
        <v>0.75</v>
      </c>
      <c r="Z179" s="31" t="e">
        <f>M179/(M179+N179)</f>
        <v>#DIV/0!</v>
      </c>
      <c r="AA179" s="31" t="e">
        <f>O179/(O179+P179)</f>
        <v>#DIV/0!</v>
      </c>
    </row>
    <row r="180" spans="1:29" hidden="1" x14ac:dyDescent="0.3">
      <c r="A180" s="8" t="s">
        <v>85</v>
      </c>
      <c r="B180" s="5" t="s">
        <v>444</v>
      </c>
      <c r="C180" s="5" t="s">
        <v>316</v>
      </c>
      <c r="D180" s="5" t="s">
        <v>471</v>
      </c>
      <c r="E180" s="5" t="s">
        <v>467</v>
      </c>
      <c r="F180" s="5" t="s">
        <v>323</v>
      </c>
      <c r="G180" s="16">
        <v>10</v>
      </c>
      <c r="H180" s="17">
        <v>8</v>
      </c>
      <c r="I180" s="17">
        <v>2</v>
      </c>
      <c r="J180" s="17">
        <v>6</v>
      </c>
      <c r="K180" s="17">
        <v>7</v>
      </c>
      <c r="L180" s="17">
        <v>5</v>
      </c>
      <c r="M180" s="17"/>
      <c r="N180" s="17"/>
      <c r="O180" s="17"/>
      <c r="P180" s="18"/>
      <c r="Q180" s="5" t="s">
        <v>314</v>
      </c>
      <c r="R180" s="5" t="s">
        <v>471</v>
      </c>
      <c r="S180" s="5" t="s">
        <v>467</v>
      </c>
      <c r="T180">
        <f>G180+I180+K180+M180+O180</f>
        <v>19</v>
      </c>
      <c r="U180">
        <f>H180+J180+L180+N180+P180</f>
        <v>19</v>
      </c>
      <c r="V180" s="31">
        <f>T180/(T180+U180)</f>
        <v>0.5</v>
      </c>
      <c r="W180" s="31">
        <f>G180/(G180+H180)</f>
        <v>0.55555555555555558</v>
      </c>
      <c r="X180" s="31">
        <f>I180/(I180+J180)</f>
        <v>0.25</v>
      </c>
      <c r="Y180" s="31">
        <f>K180/(K180+L180)</f>
        <v>0.58333333333333337</v>
      </c>
      <c r="Z180" s="31" t="e">
        <f>M180/(M180+N180)</f>
        <v>#DIV/0!</v>
      </c>
      <c r="AA180" s="31" t="e">
        <f>O180/(O180+P180)</f>
        <v>#DIV/0!</v>
      </c>
      <c r="AC180">
        <f t="shared" si="2"/>
        <v>0</v>
      </c>
    </row>
    <row r="181" spans="1:29" x14ac:dyDescent="0.3">
      <c r="A181" s="8" t="s">
        <v>97</v>
      </c>
      <c r="B181" s="5" t="s">
        <v>309</v>
      </c>
      <c r="C181" s="5" t="s">
        <v>98</v>
      </c>
      <c r="D181" s="5" t="s">
        <v>464</v>
      </c>
      <c r="E181" s="5" t="s">
        <v>457</v>
      </c>
      <c r="F181" s="5" t="s">
        <v>99</v>
      </c>
      <c r="G181" s="16">
        <v>6</v>
      </c>
      <c r="H181" s="17">
        <v>3</v>
      </c>
      <c r="I181" s="17">
        <v>7</v>
      </c>
      <c r="J181" s="17">
        <v>5</v>
      </c>
      <c r="K181" s="17">
        <v>6</v>
      </c>
      <c r="L181" s="17">
        <v>1</v>
      </c>
      <c r="M181" s="17"/>
      <c r="N181" s="17"/>
      <c r="O181" s="17"/>
      <c r="P181" s="18"/>
      <c r="Q181" s="5" t="s">
        <v>90</v>
      </c>
      <c r="R181" s="5" t="s">
        <v>471</v>
      </c>
      <c r="S181" s="5" t="s">
        <v>467</v>
      </c>
      <c r="T181">
        <f>G181+I181+K181+M181+O181</f>
        <v>19</v>
      </c>
      <c r="U181">
        <f>H181+J181+L181+N181+P181</f>
        <v>9</v>
      </c>
      <c r="V181" s="31">
        <f>T181/(T181+U181)</f>
        <v>0.6785714285714286</v>
      </c>
      <c r="W181" s="31">
        <f>G181/(G181+H181)</f>
        <v>0.66666666666666663</v>
      </c>
      <c r="X181" s="31">
        <f>I181/(I181+J181)</f>
        <v>0.58333333333333337</v>
      </c>
      <c r="Y181" s="31">
        <f>K181/(K181+L181)</f>
        <v>0.8571428571428571</v>
      </c>
      <c r="Z181" s="31" t="e">
        <f>M181/(M181+N181)</f>
        <v>#DIV/0!</v>
      </c>
      <c r="AA181" s="31" t="e">
        <f>O181/(O181+P181)</f>
        <v>#DIV/0!</v>
      </c>
    </row>
    <row r="182" spans="1:29" hidden="1" x14ac:dyDescent="0.3">
      <c r="A182" s="9" t="s">
        <v>82</v>
      </c>
      <c r="B182" s="5" t="s">
        <v>444</v>
      </c>
      <c r="C182" s="7" t="s">
        <v>316</v>
      </c>
      <c r="D182" s="7" t="s">
        <v>471</v>
      </c>
      <c r="E182" s="7" t="s">
        <v>467</v>
      </c>
      <c r="F182" s="7" t="s">
        <v>322</v>
      </c>
      <c r="G182" s="13">
        <v>6</v>
      </c>
      <c r="H182" s="14">
        <v>1</v>
      </c>
      <c r="I182" s="14">
        <v>5</v>
      </c>
      <c r="J182" s="14">
        <v>7</v>
      </c>
      <c r="K182" s="14">
        <v>6</v>
      </c>
      <c r="L182" s="14">
        <v>2</v>
      </c>
      <c r="M182" s="14"/>
      <c r="N182" s="14"/>
      <c r="O182" s="14"/>
      <c r="P182" s="15"/>
      <c r="Q182" s="7" t="s">
        <v>321</v>
      </c>
      <c r="R182" s="7" t="s">
        <v>471</v>
      </c>
      <c r="S182" s="7" t="s">
        <v>467</v>
      </c>
      <c r="T182">
        <f>G182+I182+K182+M182+O182</f>
        <v>17</v>
      </c>
      <c r="U182">
        <f>H182+J182+L182+N182+P182</f>
        <v>10</v>
      </c>
      <c r="V182" s="31">
        <f>T182/(T182+U182)</f>
        <v>0.62962962962962965</v>
      </c>
      <c r="W182" s="31">
        <f>G182/(G182+H182)</f>
        <v>0.8571428571428571</v>
      </c>
      <c r="X182" s="31">
        <f>I182/(I182+J182)</f>
        <v>0.41666666666666669</v>
      </c>
      <c r="Y182" s="31">
        <f>K182/(K182+L182)</f>
        <v>0.75</v>
      </c>
      <c r="Z182" s="31" t="e">
        <f>M182/(M182+N182)</f>
        <v>#DIV/0!</v>
      </c>
      <c r="AA182" s="31" t="e">
        <f>O182/(O182+P182)</f>
        <v>#DIV/0!</v>
      </c>
      <c r="AC182">
        <f t="shared" si="2"/>
        <v>7</v>
      </c>
    </row>
    <row r="183" spans="1:29" x14ac:dyDescent="0.3">
      <c r="A183" s="9" t="s">
        <v>82</v>
      </c>
      <c r="B183" s="5" t="s">
        <v>309</v>
      </c>
      <c r="C183" s="7" t="s">
        <v>83</v>
      </c>
      <c r="D183" s="7" t="s">
        <v>464</v>
      </c>
      <c r="E183" s="7" t="s">
        <v>457</v>
      </c>
      <c r="F183" s="7" t="s">
        <v>84</v>
      </c>
      <c r="G183" s="13">
        <v>6</v>
      </c>
      <c r="H183" s="14">
        <v>2</v>
      </c>
      <c r="I183" s="14">
        <v>6</v>
      </c>
      <c r="J183" s="14">
        <v>2</v>
      </c>
      <c r="K183" s="14">
        <v>5</v>
      </c>
      <c r="L183" s="14">
        <v>7</v>
      </c>
      <c r="M183" s="14">
        <v>7</v>
      </c>
      <c r="N183" s="14">
        <v>5</v>
      </c>
      <c r="O183" s="14"/>
      <c r="P183" s="15"/>
      <c r="Q183" s="7" t="s">
        <v>68</v>
      </c>
      <c r="R183" s="7" t="s">
        <v>471</v>
      </c>
      <c r="S183" s="7" t="s">
        <v>467</v>
      </c>
      <c r="T183">
        <f>G183+I183+K183+M183+O183</f>
        <v>24</v>
      </c>
      <c r="U183">
        <f>H183+J183+L183+N183+P183</f>
        <v>16</v>
      </c>
      <c r="V183" s="31">
        <f>T183/(T183+U183)</f>
        <v>0.6</v>
      </c>
      <c r="W183" s="31">
        <f>G183/(G183+H183)</f>
        <v>0.75</v>
      </c>
      <c r="X183" s="31">
        <f>I183/(I183+J183)</f>
        <v>0.75</v>
      </c>
      <c r="Y183" s="31">
        <f>K183/(K183+L183)</f>
        <v>0.41666666666666669</v>
      </c>
      <c r="Z183" s="31">
        <f>M183/(M183+N183)</f>
        <v>0.58333333333333337</v>
      </c>
      <c r="AA183" s="31" t="e">
        <f>O183/(O183+P183)</f>
        <v>#DIV/0!</v>
      </c>
    </row>
    <row r="184" spans="1:29" hidden="1" x14ac:dyDescent="0.3">
      <c r="A184" s="8" t="s">
        <v>78</v>
      </c>
      <c r="B184" s="5" t="s">
        <v>444</v>
      </c>
      <c r="C184" s="5" t="s">
        <v>316</v>
      </c>
      <c r="D184" s="5" t="s">
        <v>471</v>
      </c>
      <c r="E184" s="5" t="s">
        <v>467</v>
      </c>
      <c r="F184" s="5" t="s">
        <v>320</v>
      </c>
      <c r="G184" s="16">
        <v>7</v>
      </c>
      <c r="H184" s="17">
        <v>5</v>
      </c>
      <c r="I184" s="17">
        <v>6</v>
      </c>
      <c r="J184" s="17">
        <v>2</v>
      </c>
      <c r="K184" s="17"/>
      <c r="L184" s="17"/>
      <c r="M184" s="17"/>
      <c r="N184" s="17"/>
      <c r="O184" s="17"/>
      <c r="P184" s="18"/>
      <c r="Q184" s="5" t="s">
        <v>311</v>
      </c>
      <c r="R184" s="5" t="s">
        <v>471</v>
      </c>
      <c r="S184" s="5" t="s">
        <v>467</v>
      </c>
      <c r="T184">
        <f>G184+I184+K184+M184+O184</f>
        <v>13</v>
      </c>
      <c r="U184">
        <f>H184+J184+L184+N184+P184</f>
        <v>7</v>
      </c>
      <c r="V184" s="31">
        <f>T184/(T184+U184)</f>
        <v>0.65</v>
      </c>
      <c r="W184" s="31">
        <f>G184/(G184+H184)</f>
        <v>0.58333333333333337</v>
      </c>
      <c r="X184" s="31">
        <f>I184/(I184+J184)</f>
        <v>0.75</v>
      </c>
      <c r="Y184" s="31" t="e">
        <f>K184/(K184+L184)</f>
        <v>#DIV/0!</v>
      </c>
      <c r="Z184" s="31" t="e">
        <f>M184/(M184+N184)</f>
        <v>#DIV/0!</v>
      </c>
      <c r="AA184" s="31" t="e">
        <f>O184/(O184+P184)</f>
        <v>#DIV/0!</v>
      </c>
      <c r="AC184">
        <f t="shared" si="2"/>
        <v>6</v>
      </c>
    </row>
    <row r="185" spans="1:29" x14ac:dyDescent="0.3">
      <c r="A185" s="9" t="s">
        <v>49</v>
      </c>
      <c r="B185" s="5" t="s">
        <v>309</v>
      </c>
      <c r="C185" s="7" t="s">
        <v>50</v>
      </c>
      <c r="D185" s="7" t="s">
        <v>464</v>
      </c>
      <c r="E185" s="7" t="s">
        <v>457</v>
      </c>
      <c r="F185" s="7" t="s">
        <v>52</v>
      </c>
      <c r="G185" s="13">
        <v>6</v>
      </c>
      <c r="H185" s="14">
        <v>4</v>
      </c>
      <c r="I185" s="14">
        <v>6</v>
      </c>
      <c r="J185" s="14">
        <v>0</v>
      </c>
      <c r="K185" s="14">
        <v>6</v>
      </c>
      <c r="L185" s="14">
        <v>3</v>
      </c>
      <c r="M185" s="14"/>
      <c r="N185" s="14"/>
      <c r="O185" s="14"/>
      <c r="P185" s="15"/>
      <c r="Q185" s="7" t="s">
        <v>51</v>
      </c>
      <c r="R185" s="7" t="s">
        <v>471</v>
      </c>
      <c r="S185" s="7" t="s">
        <v>467</v>
      </c>
      <c r="T185">
        <f>G185+I185+K185+M185+O185</f>
        <v>18</v>
      </c>
      <c r="U185">
        <f>H185+J185+L185+N185+P185</f>
        <v>7</v>
      </c>
      <c r="V185" s="31">
        <f>T185/(T185+U185)</f>
        <v>0.72</v>
      </c>
      <c r="W185" s="31">
        <f>G185/(G185+H185)</f>
        <v>0.6</v>
      </c>
      <c r="X185" s="31">
        <f>I185/(I185+J185)</f>
        <v>1</v>
      </c>
      <c r="Y185" s="31">
        <f>K185/(K185+L185)</f>
        <v>0.66666666666666663</v>
      </c>
      <c r="Z185" s="31" t="e">
        <f>M185/(M185+N185)</f>
        <v>#DIV/0!</v>
      </c>
      <c r="AA185" s="31" t="e">
        <f>O185/(O185+P185)</f>
        <v>#DIV/0!</v>
      </c>
    </row>
    <row r="186" spans="1:29" hidden="1" x14ac:dyDescent="0.3">
      <c r="A186" s="9" t="s">
        <v>76</v>
      </c>
      <c r="B186" s="5" t="s">
        <v>444</v>
      </c>
      <c r="C186" s="7" t="s">
        <v>311</v>
      </c>
      <c r="D186" s="7" t="s">
        <v>471</v>
      </c>
      <c r="E186" s="7" t="s">
        <v>467</v>
      </c>
      <c r="F186" s="7" t="s">
        <v>319</v>
      </c>
      <c r="G186" s="13">
        <v>5</v>
      </c>
      <c r="H186" s="14">
        <v>7</v>
      </c>
      <c r="I186" s="14">
        <v>6</v>
      </c>
      <c r="J186" s="14">
        <v>1</v>
      </c>
      <c r="K186" s="14">
        <v>6</v>
      </c>
      <c r="L186" s="14">
        <v>2</v>
      </c>
      <c r="M186" s="14"/>
      <c r="N186" s="14"/>
      <c r="O186" s="14"/>
      <c r="P186" s="15"/>
      <c r="Q186" s="7" t="s">
        <v>314</v>
      </c>
      <c r="R186" s="7" t="s">
        <v>471</v>
      </c>
      <c r="S186" s="7" t="s">
        <v>467</v>
      </c>
      <c r="T186">
        <f>G186+I186+K186+M186+O186</f>
        <v>17</v>
      </c>
      <c r="U186">
        <f>H186+J186+L186+N186+P186</f>
        <v>10</v>
      </c>
      <c r="V186" s="31">
        <f>T186/(T186+U186)</f>
        <v>0.62962962962962965</v>
      </c>
      <c r="W186" s="31">
        <f>G186/(G186+H186)</f>
        <v>0.41666666666666669</v>
      </c>
      <c r="X186" s="31">
        <f>I186/(I186+J186)</f>
        <v>0.8571428571428571</v>
      </c>
      <c r="Y186" s="31">
        <f>K186/(K186+L186)</f>
        <v>0.75</v>
      </c>
      <c r="Z186" s="31" t="e">
        <f>M186/(M186+N186)</f>
        <v>#DIV/0!</v>
      </c>
      <c r="AA186" s="31" t="e">
        <f>O186/(O186+P186)</f>
        <v>#DIV/0!</v>
      </c>
      <c r="AC186">
        <f t="shared" si="2"/>
        <v>7</v>
      </c>
    </row>
    <row r="187" spans="1:29" x14ac:dyDescent="0.3">
      <c r="A187" s="8" t="s">
        <v>46</v>
      </c>
      <c r="B187" s="5" t="s">
        <v>309</v>
      </c>
      <c r="C187" s="5" t="s">
        <v>47</v>
      </c>
      <c r="D187" s="5" t="s">
        <v>464</v>
      </c>
      <c r="E187" s="5" t="s">
        <v>457</v>
      </c>
      <c r="F187" s="5" t="s">
        <v>48</v>
      </c>
      <c r="G187" s="16">
        <v>4</v>
      </c>
      <c r="H187" s="17">
        <v>6</v>
      </c>
      <c r="I187" s="17">
        <v>6</v>
      </c>
      <c r="J187" s="17">
        <v>1</v>
      </c>
      <c r="K187" s="17">
        <v>6</v>
      </c>
      <c r="L187" s="17">
        <v>1</v>
      </c>
      <c r="M187" s="17">
        <v>6</v>
      </c>
      <c r="N187" s="17">
        <v>4</v>
      </c>
      <c r="O187" s="17"/>
      <c r="P187" s="18"/>
      <c r="Q187" s="5" t="s">
        <v>21</v>
      </c>
      <c r="R187" s="5" t="s">
        <v>471</v>
      </c>
      <c r="S187" s="5" t="s">
        <v>467</v>
      </c>
      <c r="T187">
        <f>G187+I187+K187+M187+O187</f>
        <v>22</v>
      </c>
      <c r="U187">
        <f>H187+J187+L187+N187+P187</f>
        <v>12</v>
      </c>
      <c r="V187" s="31">
        <f>T187/(T187+U187)</f>
        <v>0.6470588235294118</v>
      </c>
      <c r="W187" s="31">
        <f>G187/(G187+H187)</f>
        <v>0.4</v>
      </c>
      <c r="X187" s="31">
        <f>I187/(I187+J187)</f>
        <v>0.8571428571428571</v>
      </c>
      <c r="Y187" s="31">
        <f>K187/(K187+L187)</f>
        <v>0.8571428571428571</v>
      </c>
      <c r="Z187" s="31">
        <f>M187/(M187+N187)</f>
        <v>0.6</v>
      </c>
      <c r="AA187" s="31" t="e">
        <f>O187/(O187+P187)</f>
        <v>#DIV/0!</v>
      </c>
    </row>
    <row r="188" spans="1:29" hidden="1" x14ac:dyDescent="0.3">
      <c r="A188" s="8" t="s">
        <v>72</v>
      </c>
      <c r="B188" s="5" t="s">
        <v>444</v>
      </c>
      <c r="C188" s="5" t="s">
        <v>316</v>
      </c>
      <c r="D188" s="5" t="s">
        <v>471</v>
      </c>
      <c r="E188" s="5" t="s">
        <v>467</v>
      </c>
      <c r="F188" s="5" t="s">
        <v>318</v>
      </c>
      <c r="G188" s="16">
        <v>6</v>
      </c>
      <c r="H188" s="17">
        <v>1</v>
      </c>
      <c r="I188" s="17">
        <v>6</v>
      </c>
      <c r="J188" s="17">
        <v>3</v>
      </c>
      <c r="K188" s="17"/>
      <c r="L188" s="17"/>
      <c r="M188" s="17"/>
      <c r="N188" s="17"/>
      <c r="O188" s="17"/>
      <c r="P188" s="18"/>
      <c r="Q188" s="5" t="s">
        <v>311</v>
      </c>
      <c r="R188" s="5" t="s">
        <v>471</v>
      </c>
      <c r="S188" s="5" t="s">
        <v>467</v>
      </c>
      <c r="T188">
        <f>G188+I188+K188+M188+O188</f>
        <v>12</v>
      </c>
      <c r="U188">
        <f>H188+J188+L188+N188+P188</f>
        <v>4</v>
      </c>
      <c r="V188" s="31">
        <f>T188/(T188+U188)</f>
        <v>0.75</v>
      </c>
      <c r="W188" s="31">
        <f>G188/(G188+H188)</f>
        <v>0.8571428571428571</v>
      </c>
      <c r="X188" s="31">
        <f>I188/(I188+J188)</f>
        <v>0.66666666666666663</v>
      </c>
      <c r="Y188" s="31" t="e">
        <f>K188/(K188+L188)</f>
        <v>#DIV/0!</v>
      </c>
      <c r="Z188" s="31" t="e">
        <f>M188/(M188+N188)</f>
        <v>#DIV/0!</v>
      </c>
      <c r="AA188" s="31" t="e">
        <f>O188/(O188+P188)</f>
        <v>#DIV/0!</v>
      </c>
      <c r="AC188">
        <f t="shared" si="2"/>
        <v>8</v>
      </c>
    </row>
    <row r="189" spans="1:29" x14ac:dyDescent="0.3">
      <c r="A189" s="9" t="s">
        <v>36</v>
      </c>
      <c r="B189" s="5" t="s">
        <v>309</v>
      </c>
      <c r="C189" s="7" t="s">
        <v>37</v>
      </c>
      <c r="D189" s="7" t="s">
        <v>464</v>
      </c>
      <c r="E189" s="7" t="s">
        <v>457</v>
      </c>
      <c r="F189" s="7" t="s">
        <v>39</v>
      </c>
      <c r="G189" s="13">
        <v>3</v>
      </c>
      <c r="H189" s="14">
        <v>6</v>
      </c>
      <c r="I189" s="14">
        <v>6</v>
      </c>
      <c r="J189" s="14">
        <v>3</v>
      </c>
      <c r="K189" s="14">
        <v>1</v>
      </c>
      <c r="L189" s="14">
        <v>6</v>
      </c>
      <c r="M189" s="14">
        <v>6</v>
      </c>
      <c r="N189" s="14">
        <v>1</v>
      </c>
      <c r="O189" s="14">
        <v>7</v>
      </c>
      <c r="P189" s="15">
        <v>5</v>
      </c>
      <c r="Q189" s="7" t="s">
        <v>38</v>
      </c>
      <c r="R189" s="7" t="s">
        <v>464</v>
      </c>
      <c r="S189" s="7" t="s">
        <v>457</v>
      </c>
      <c r="T189">
        <f>G189+I189+K189+M189+O189</f>
        <v>23</v>
      </c>
      <c r="U189">
        <f>H189+J189+L189+N189+P189</f>
        <v>21</v>
      </c>
      <c r="V189" s="31">
        <f>T189/(T189+U189)</f>
        <v>0.52272727272727271</v>
      </c>
      <c r="W189" s="31">
        <f>G189/(G189+H189)</f>
        <v>0.33333333333333331</v>
      </c>
      <c r="X189" s="31">
        <f>I189/(I189+J189)</f>
        <v>0.66666666666666663</v>
      </c>
      <c r="Y189" s="31">
        <f>K189/(K189+L189)</f>
        <v>0.14285714285714285</v>
      </c>
      <c r="Z189" s="31">
        <f>M189/(M189+N189)</f>
        <v>0.8571428571428571</v>
      </c>
      <c r="AA189" s="31">
        <f>O189/(O189+P189)</f>
        <v>0.58333333333333337</v>
      </c>
    </row>
    <row r="190" spans="1:29" hidden="1" x14ac:dyDescent="0.3">
      <c r="A190" s="9" t="s">
        <v>70</v>
      </c>
      <c r="B190" s="5" t="s">
        <v>444</v>
      </c>
      <c r="C190" s="7" t="s">
        <v>316</v>
      </c>
      <c r="D190" s="7" t="s">
        <v>471</v>
      </c>
      <c r="E190" s="7" t="s">
        <v>467</v>
      </c>
      <c r="F190" s="7" t="s">
        <v>317</v>
      </c>
      <c r="G190" s="13">
        <v>1</v>
      </c>
      <c r="H190" s="14">
        <v>6</v>
      </c>
      <c r="I190" s="14">
        <v>8</v>
      </c>
      <c r="J190" s="14">
        <v>6</v>
      </c>
      <c r="K190" s="14">
        <v>6</v>
      </c>
      <c r="L190" s="14">
        <v>4</v>
      </c>
      <c r="M190" s="14"/>
      <c r="N190" s="14"/>
      <c r="O190" s="14"/>
      <c r="P190" s="15"/>
      <c r="Q190" s="7" t="s">
        <v>311</v>
      </c>
      <c r="R190" s="7" t="s">
        <v>471</v>
      </c>
      <c r="S190" s="7" t="s">
        <v>467</v>
      </c>
      <c r="T190">
        <f>G190+I190+K190+M190+O190</f>
        <v>15</v>
      </c>
      <c r="U190">
        <f>H190+J190+L190+N190+P190</f>
        <v>16</v>
      </c>
      <c r="V190" s="31">
        <f>T190/(T190+U190)</f>
        <v>0.4838709677419355</v>
      </c>
      <c r="W190" s="31">
        <f>G190/(G190+H190)</f>
        <v>0.14285714285714285</v>
      </c>
      <c r="X190" s="31">
        <f>I190/(I190+J190)</f>
        <v>0.5714285714285714</v>
      </c>
      <c r="Y190" s="31">
        <f>K190/(K190+L190)</f>
        <v>0.6</v>
      </c>
      <c r="Z190" s="31" t="e">
        <f>M190/(M190+N190)</f>
        <v>#DIV/0!</v>
      </c>
      <c r="AA190" s="31" t="e">
        <f>O190/(O190+P190)</f>
        <v>#DIV/0!</v>
      </c>
      <c r="AC190">
        <f t="shared" si="2"/>
        <v>-1</v>
      </c>
    </row>
    <row r="191" spans="1:29" x14ac:dyDescent="0.3">
      <c r="A191" s="8" t="s">
        <v>267</v>
      </c>
      <c r="B191" s="5" t="s">
        <v>309</v>
      </c>
      <c r="C191" s="5" t="s">
        <v>246</v>
      </c>
      <c r="D191" s="5" t="s">
        <v>474</v>
      </c>
      <c r="E191" s="11" t="s">
        <v>448</v>
      </c>
      <c r="F191" s="5" t="s">
        <v>269</v>
      </c>
      <c r="G191" s="16">
        <v>6</v>
      </c>
      <c r="H191" s="17">
        <v>2</v>
      </c>
      <c r="I191" s="17">
        <v>6</v>
      </c>
      <c r="J191" s="17">
        <v>2</v>
      </c>
      <c r="K191" s="17">
        <v>6</v>
      </c>
      <c r="L191" s="17">
        <v>1</v>
      </c>
      <c r="M191" s="17"/>
      <c r="N191" s="17"/>
      <c r="O191" s="17"/>
      <c r="P191" s="18"/>
      <c r="Q191" s="5" t="s">
        <v>268</v>
      </c>
      <c r="R191" s="5" t="s">
        <v>458</v>
      </c>
      <c r="S191" s="5" t="s">
        <v>456</v>
      </c>
      <c r="T191">
        <f>G191+I191+K191+M191+O191</f>
        <v>18</v>
      </c>
      <c r="U191">
        <f>H191+J191+L191+N191+P191</f>
        <v>5</v>
      </c>
      <c r="V191" s="31">
        <f>T191/(T191+U191)</f>
        <v>0.78260869565217395</v>
      </c>
      <c r="W191" s="31">
        <f>G191/(G191+H191)</f>
        <v>0.75</v>
      </c>
      <c r="X191" s="31">
        <f>I191/(I191+J191)</f>
        <v>0.75</v>
      </c>
      <c r="Y191" s="31">
        <f>K191/(K191+L191)</f>
        <v>0.8571428571428571</v>
      </c>
      <c r="Z191" s="31" t="e">
        <f>M191/(M191+N191)</f>
        <v>#DIV/0!</v>
      </c>
      <c r="AA191" s="31" t="e">
        <f>O191/(O191+P191)</f>
        <v>#DIV/0!</v>
      </c>
    </row>
    <row r="192" spans="1:29" hidden="1" x14ac:dyDescent="0.3">
      <c r="A192" s="8" t="s">
        <v>67</v>
      </c>
      <c r="B192" s="5" t="s">
        <v>444</v>
      </c>
      <c r="C192" s="5" t="s">
        <v>314</v>
      </c>
      <c r="D192" s="5" t="s">
        <v>471</v>
      </c>
      <c r="E192" s="5" t="s">
        <v>467</v>
      </c>
      <c r="F192" s="5" t="s">
        <v>315</v>
      </c>
      <c r="G192" s="16">
        <v>6</v>
      </c>
      <c r="H192" s="17">
        <v>3</v>
      </c>
      <c r="I192" s="17">
        <v>3</v>
      </c>
      <c r="J192" s="17">
        <v>6</v>
      </c>
      <c r="K192" s="17">
        <v>8</v>
      </c>
      <c r="L192" s="17">
        <v>6</v>
      </c>
      <c r="M192" s="17"/>
      <c r="N192" s="17"/>
      <c r="O192" s="17"/>
      <c r="P192" s="18"/>
      <c r="Q192" s="5" t="s">
        <v>311</v>
      </c>
      <c r="R192" s="5" t="s">
        <v>471</v>
      </c>
      <c r="S192" s="5" t="s">
        <v>467</v>
      </c>
      <c r="T192">
        <f>G192+I192+K192+M192+O192</f>
        <v>17</v>
      </c>
      <c r="U192">
        <f>H192+J192+L192+N192+P192</f>
        <v>15</v>
      </c>
      <c r="V192" s="31">
        <f>T192/(T192+U192)</f>
        <v>0.53125</v>
      </c>
      <c r="W192" s="31">
        <f>G192/(G192+H192)</f>
        <v>0.66666666666666663</v>
      </c>
      <c r="X192" s="31">
        <f>I192/(I192+J192)</f>
        <v>0.33333333333333331</v>
      </c>
      <c r="Y192" s="31">
        <f>K192/(K192+L192)</f>
        <v>0.5714285714285714</v>
      </c>
      <c r="Z192" s="31" t="e">
        <f>M192/(M192+N192)</f>
        <v>#DIV/0!</v>
      </c>
      <c r="AA192" s="31" t="e">
        <f>O192/(O192+P192)</f>
        <v>#DIV/0!</v>
      </c>
      <c r="AC192">
        <f t="shared" si="2"/>
        <v>2</v>
      </c>
    </row>
    <row r="193" spans="1:29" x14ac:dyDescent="0.3">
      <c r="A193" s="8" t="s">
        <v>261</v>
      </c>
      <c r="B193" s="5" t="s">
        <v>309</v>
      </c>
      <c r="C193" s="5" t="s">
        <v>246</v>
      </c>
      <c r="D193" s="5" t="s">
        <v>474</v>
      </c>
      <c r="E193" s="11" t="s">
        <v>448</v>
      </c>
      <c r="F193" s="5" t="s">
        <v>263</v>
      </c>
      <c r="G193" s="16">
        <v>6</v>
      </c>
      <c r="H193" s="17">
        <v>4</v>
      </c>
      <c r="I193" s="17">
        <v>6</v>
      </c>
      <c r="J193" s="17">
        <v>2</v>
      </c>
      <c r="K193" s="17">
        <v>6</v>
      </c>
      <c r="L193" s="17">
        <v>2</v>
      </c>
      <c r="M193" s="17"/>
      <c r="N193" s="17"/>
      <c r="O193" s="17"/>
      <c r="P193" s="18"/>
      <c r="Q193" s="5" t="s">
        <v>262</v>
      </c>
      <c r="R193" s="5" t="s">
        <v>481</v>
      </c>
      <c r="S193" s="5" t="s">
        <v>459</v>
      </c>
      <c r="T193">
        <f>G193+I193+K193+M193+O193</f>
        <v>18</v>
      </c>
      <c r="U193">
        <f>H193+J193+L193+N193+P193</f>
        <v>8</v>
      </c>
      <c r="V193" s="31">
        <f>T193/(T193+U193)</f>
        <v>0.69230769230769229</v>
      </c>
      <c r="W193" s="31">
        <f>G193/(G193+H193)</f>
        <v>0.6</v>
      </c>
      <c r="X193" s="31">
        <f>I193/(I193+J193)</f>
        <v>0.75</v>
      </c>
      <c r="Y193" s="31">
        <f>K193/(K193+L193)</f>
        <v>0.75</v>
      </c>
      <c r="Z193" s="31" t="e">
        <f>M193/(M193+N193)</f>
        <v>#DIV/0!</v>
      </c>
      <c r="AA193" s="31" t="e">
        <f>O193/(O193+P193)</f>
        <v>#DIV/0!</v>
      </c>
    </row>
    <row r="194" spans="1:29" hidden="1" x14ac:dyDescent="0.3">
      <c r="A194" s="9" t="s">
        <v>64</v>
      </c>
      <c r="B194" s="5" t="s">
        <v>444</v>
      </c>
      <c r="C194" s="7" t="s">
        <v>310</v>
      </c>
      <c r="D194" s="7" t="s">
        <v>471</v>
      </c>
      <c r="E194" s="7" t="s">
        <v>467</v>
      </c>
      <c r="F194" s="7" t="s">
        <v>313</v>
      </c>
      <c r="G194" s="13">
        <v>6</v>
      </c>
      <c r="H194" s="14">
        <v>1</v>
      </c>
      <c r="I194" s="14">
        <v>7</v>
      </c>
      <c r="J194" s="14">
        <v>5</v>
      </c>
      <c r="K194" s="14"/>
      <c r="L194" s="14"/>
      <c r="M194" s="14"/>
      <c r="N194" s="14"/>
      <c r="O194" s="14"/>
      <c r="P194" s="15"/>
      <c r="Q194" s="7" t="s">
        <v>311</v>
      </c>
      <c r="R194" s="7" t="s">
        <v>471</v>
      </c>
      <c r="S194" s="7" t="s">
        <v>467</v>
      </c>
      <c r="T194">
        <f>G194+I194+K194+M194+O194</f>
        <v>13</v>
      </c>
      <c r="U194">
        <f>H194+J194+L194+N194+P194</f>
        <v>6</v>
      </c>
      <c r="V194" s="31">
        <f>T194/(T194+U194)</f>
        <v>0.68421052631578949</v>
      </c>
      <c r="W194" s="31">
        <f>G194/(G194+H194)</f>
        <v>0.8571428571428571</v>
      </c>
      <c r="X194" s="31">
        <f>I194/(I194+J194)</f>
        <v>0.58333333333333337</v>
      </c>
      <c r="Y194" s="31" t="e">
        <f>K194/(K194+L194)</f>
        <v>#DIV/0!</v>
      </c>
      <c r="Z194" s="31" t="e">
        <f>M194/(M194+N194)</f>
        <v>#DIV/0!</v>
      </c>
      <c r="AA194" s="31" t="e">
        <f>O194/(O194+P194)</f>
        <v>#DIV/0!</v>
      </c>
      <c r="AC194">
        <f t="shared" si="2"/>
        <v>7</v>
      </c>
    </row>
    <row r="195" spans="1:29" x14ac:dyDescent="0.3">
      <c r="A195" s="9" t="s">
        <v>259</v>
      </c>
      <c r="B195" s="5" t="s">
        <v>309</v>
      </c>
      <c r="C195" s="7" t="s">
        <v>246</v>
      </c>
      <c r="D195" s="7" t="s">
        <v>474</v>
      </c>
      <c r="E195" s="7" t="s">
        <v>448</v>
      </c>
      <c r="F195" s="7" t="s">
        <v>260</v>
      </c>
      <c r="G195" s="13">
        <v>3</v>
      </c>
      <c r="H195" s="14">
        <v>6</v>
      </c>
      <c r="I195" s="14">
        <v>6</v>
      </c>
      <c r="J195" s="14">
        <v>3</v>
      </c>
      <c r="K195" s="14">
        <v>6</v>
      </c>
      <c r="L195" s="14">
        <v>2</v>
      </c>
      <c r="M195" s="14">
        <v>6</v>
      </c>
      <c r="N195" s="14">
        <v>4</v>
      </c>
      <c r="O195" s="14"/>
      <c r="P195" s="15"/>
      <c r="Q195" s="7" t="s">
        <v>257</v>
      </c>
      <c r="R195" s="7" t="s">
        <v>480</v>
      </c>
      <c r="S195" s="7" t="s">
        <v>452</v>
      </c>
      <c r="T195">
        <f>G195+I195+K195+M195+O195</f>
        <v>21</v>
      </c>
      <c r="U195">
        <f>H195+J195+L195+N195+P195</f>
        <v>15</v>
      </c>
      <c r="V195" s="31">
        <f>T195/(T195+U195)</f>
        <v>0.58333333333333337</v>
      </c>
      <c r="W195" s="31">
        <f>G195/(G195+H195)</f>
        <v>0.33333333333333331</v>
      </c>
      <c r="X195" s="31">
        <f>I195/(I195+J195)</f>
        <v>0.66666666666666663</v>
      </c>
      <c r="Y195" s="31">
        <f>K195/(K195+L195)</f>
        <v>0.75</v>
      </c>
      <c r="Z195" s="31">
        <f>M195/(M195+N195)</f>
        <v>0.6</v>
      </c>
      <c r="AA195" s="31" t="e">
        <f>O195/(O195+P195)</f>
        <v>#DIV/0!</v>
      </c>
    </row>
    <row r="196" spans="1:29" hidden="1" x14ac:dyDescent="0.3">
      <c r="A196" s="8" t="s">
        <v>61</v>
      </c>
      <c r="B196" s="5" t="s">
        <v>444</v>
      </c>
      <c r="C196" s="5" t="s">
        <v>310</v>
      </c>
      <c r="D196" s="5" t="s">
        <v>471</v>
      </c>
      <c r="E196" s="5" t="s">
        <v>467</v>
      </c>
      <c r="F196" s="5" t="s">
        <v>312</v>
      </c>
      <c r="G196" s="16">
        <v>6</v>
      </c>
      <c r="H196" s="17">
        <v>3</v>
      </c>
      <c r="I196" s="17">
        <v>10</v>
      </c>
      <c r="J196" s="17">
        <v>8</v>
      </c>
      <c r="K196" s="17"/>
      <c r="L196" s="17"/>
      <c r="M196" s="17"/>
      <c r="N196" s="17"/>
      <c r="O196" s="17"/>
      <c r="P196" s="18"/>
      <c r="Q196" s="5" t="s">
        <v>311</v>
      </c>
      <c r="R196" s="5" t="s">
        <v>471</v>
      </c>
      <c r="S196" s="5" t="s">
        <v>467</v>
      </c>
      <c r="T196">
        <f>G196+I196+K196+M196+O196</f>
        <v>16</v>
      </c>
      <c r="U196">
        <f>H196+J196+L196+N196+P196</f>
        <v>11</v>
      </c>
      <c r="V196" s="31">
        <f>T196/(T196+U196)</f>
        <v>0.59259259259259256</v>
      </c>
      <c r="W196" s="31">
        <f>G196/(G196+H196)</f>
        <v>0.66666666666666663</v>
      </c>
      <c r="X196" s="31">
        <f>I196/(I196+J196)</f>
        <v>0.55555555555555558</v>
      </c>
      <c r="Y196" s="31" t="e">
        <f>K196/(K196+L196)</f>
        <v>#DIV/0!</v>
      </c>
      <c r="Z196" s="31" t="e">
        <f>M196/(M196+N196)</f>
        <v>#DIV/0!</v>
      </c>
      <c r="AA196" s="31" t="e">
        <f>O196/(O196+P196)</f>
        <v>#DIV/0!</v>
      </c>
      <c r="AC196">
        <f t="shared" ref="AC195:AC211" si="3">T196-U196</f>
        <v>5</v>
      </c>
    </row>
    <row r="197" spans="1:29" x14ac:dyDescent="0.3">
      <c r="A197" s="8" t="s">
        <v>250</v>
      </c>
      <c r="B197" s="5" t="s">
        <v>309</v>
      </c>
      <c r="C197" s="5" t="s">
        <v>243</v>
      </c>
      <c r="D197" s="5" t="s">
        <v>474</v>
      </c>
      <c r="E197" s="11" t="s">
        <v>448</v>
      </c>
      <c r="F197" s="5" t="s">
        <v>252</v>
      </c>
      <c r="G197" s="16">
        <v>6</v>
      </c>
      <c r="H197" s="17">
        <v>2</v>
      </c>
      <c r="I197" s="17">
        <v>6</v>
      </c>
      <c r="J197" s="17">
        <v>3</v>
      </c>
      <c r="K197" s="17">
        <v>6</v>
      </c>
      <c r="L197" s="17">
        <v>3</v>
      </c>
      <c r="M197" s="17"/>
      <c r="N197" s="17"/>
      <c r="O197" s="17"/>
      <c r="P197" s="18"/>
      <c r="Q197" s="5" t="s">
        <v>251</v>
      </c>
      <c r="R197" s="5" t="s">
        <v>470</v>
      </c>
      <c r="S197" s="5" t="s">
        <v>460</v>
      </c>
      <c r="T197">
        <f>G197+I197+K197+M197+O197</f>
        <v>18</v>
      </c>
      <c r="U197">
        <f>H197+J197+L197+N197+P197</f>
        <v>8</v>
      </c>
      <c r="V197" s="31">
        <f>T197/(T197+U197)</f>
        <v>0.69230769230769229</v>
      </c>
      <c r="W197" s="31">
        <f>G197/(G197+H197)</f>
        <v>0.75</v>
      </c>
      <c r="X197" s="31">
        <f>I197/(I197+J197)</f>
        <v>0.66666666666666663</v>
      </c>
      <c r="Y197" s="31">
        <f>K197/(K197+L197)</f>
        <v>0.66666666666666663</v>
      </c>
      <c r="Z197" s="31" t="e">
        <f>M197/(M197+N197)</f>
        <v>#DIV/0!</v>
      </c>
      <c r="AA197" s="31" t="e">
        <f>O197/(O197+P197)</f>
        <v>#DIV/0!</v>
      </c>
    </row>
    <row r="198" spans="1:29" x14ac:dyDescent="0.3">
      <c r="A198" s="8" t="s">
        <v>245</v>
      </c>
      <c r="B198" s="5" t="s">
        <v>309</v>
      </c>
      <c r="C198" s="5" t="s">
        <v>246</v>
      </c>
      <c r="D198" s="5" t="s">
        <v>474</v>
      </c>
      <c r="E198" s="11" t="s">
        <v>448</v>
      </c>
      <c r="F198" s="5" t="s">
        <v>525</v>
      </c>
      <c r="G198" s="16">
        <v>4</v>
      </c>
      <c r="H198" s="17">
        <v>6</v>
      </c>
      <c r="I198" s="17">
        <v>6</v>
      </c>
      <c r="J198" s="17">
        <v>1</v>
      </c>
      <c r="K198" s="17">
        <v>7</v>
      </c>
      <c r="L198" s="17">
        <v>6</v>
      </c>
      <c r="M198" s="17">
        <v>6</v>
      </c>
      <c r="N198" s="17">
        <v>4</v>
      </c>
      <c r="O198" s="17"/>
      <c r="P198" s="18"/>
      <c r="Q198" s="5" t="s">
        <v>243</v>
      </c>
      <c r="R198" s="5" t="s">
        <v>474</v>
      </c>
      <c r="S198" s="5" t="s">
        <v>448</v>
      </c>
      <c r="T198">
        <f>G198+I198+K198+M198+O198</f>
        <v>23</v>
      </c>
      <c r="U198">
        <f>H198+J198+L198+N198+P198</f>
        <v>17</v>
      </c>
      <c r="V198" s="31">
        <f>T198/(T198+U198)</f>
        <v>0.57499999999999996</v>
      </c>
      <c r="W198" s="31">
        <f>G198/(G198+H198)</f>
        <v>0.4</v>
      </c>
      <c r="X198" s="31">
        <f>I198/(I198+J198)</f>
        <v>0.8571428571428571</v>
      </c>
      <c r="Y198" s="31">
        <f>K198/(K198+L198)</f>
        <v>0.53846153846153844</v>
      </c>
      <c r="Z198" s="31">
        <f>M198/(M198+N198)</f>
        <v>0.6</v>
      </c>
      <c r="AA198" s="31" t="e">
        <f>O198/(O198+P198)</f>
        <v>#DIV/0!</v>
      </c>
    </row>
    <row r="199" spans="1:29" x14ac:dyDescent="0.3">
      <c r="A199" s="9" t="s">
        <v>242</v>
      </c>
      <c r="B199" s="5" t="s">
        <v>309</v>
      </c>
      <c r="C199" s="7" t="s">
        <v>243</v>
      </c>
      <c r="D199" s="7" t="s">
        <v>474</v>
      </c>
      <c r="E199" s="7" t="s">
        <v>448</v>
      </c>
      <c r="F199" s="7" t="s">
        <v>524</v>
      </c>
      <c r="G199" s="13">
        <v>7</v>
      </c>
      <c r="H199" s="14">
        <v>6</v>
      </c>
      <c r="I199" s="14">
        <v>6</v>
      </c>
      <c r="J199" s="14">
        <v>4</v>
      </c>
      <c r="K199" s="14">
        <v>6</v>
      </c>
      <c r="L199" s="14">
        <v>4</v>
      </c>
      <c r="M199" s="14"/>
      <c r="N199" s="14"/>
      <c r="O199" s="14"/>
      <c r="P199" s="15"/>
      <c r="Q199" s="7" t="s">
        <v>244</v>
      </c>
      <c r="R199" s="7" t="s">
        <v>474</v>
      </c>
      <c r="S199" s="7" t="s">
        <v>448</v>
      </c>
      <c r="T199">
        <f>G199+I199+K199+M199+O199</f>
        <v>19</v>
      </c>
      <c r="U199">
        <f>H199+J199+L199+N199+P199</f>
        <v>14</v>
      </c>
      <c r="V199" s="31">
        <f>T199/(T199+U199)</f>
        <v>0.5757575757575758</v>
      </c>
      <c r="W199" s="31">
        <f>G199/(G199+H199)</f>
        <v>0.53846153846153844</v>
      </c>
      <c r="X199" s="31">
        <f>I199/(I199+J199)</f>
        <v>0.6</v>
      </c>
      <c r="Y199" s="31">
        <f>K199/(K199+L199)</f>
        <v>0.6</v>
      </c>
      <c r="Z199" s="31" t="e">
        <f>M199/(M199+N199)</f>
        <v>#DIV/0!</v>
      </c>
      <c r="AA199" s="31" t="e">
        <f>O199/(O199+P199)</f>
        <v>#DIV/0!</v>
      </c>
    </row>
    <row r="200" spans="1:29" x14ac:dyDescent="0.3">
      <c r="A200" s="8" t="s">
        <v>240</v>
      </c>
      <c r="B200" s="5" t="s">
        <v>309</v>
      </c>
      <c r="C200" s="5" t="s">
        <v>238</v>
      </c>
      <c r="D200" s="5" t="s">
        <v>474</v>
      </c>
      <c r="E200" s="11" t="s">
        <v>448</v>
      </c>
      <c r="F200" s="5" t="s">
        <v>241</v>
      </c>
      <c r="G200" s="16">
        <v>6</v>
      </c>
      <c r="H200" s="17">
        <v>2</v>
      </c>
      <c r="I200" s="17">
        <v>6</v>
      </c>
      <c r="J200" s="17">
        <v>1</v>
      </c>
      <c r="K200" s="17">
        <v>2</v>
      </c>
      <c r="L200" s="17">
        <v>6</v>
      </c>
      <c r="M200" s="17">
        <v>7</v>
      </c>
      <c r="N200" s="17">
        <v>5</v>
      </c>
      <c r="O200" s="17"/>
      <c r="P200" s="18"/>
      <c r="Q200" s="5" t="s">
        <v>225</v>
      </c>
      <c r="R200" s="5" t="s">
        <v>482</v>
      </c>
      <c r="S200" s="5" t="s">
        <v>450</v>
      </c>
      <c r="T200">
        <f>G200+I200+K200+M200+O200</f>
        <v>21</v>
      </c>
      <c r="U200">
        <f>H200+J200+L200+N200+P200</f>
        <v>14</v>
      </c>
      <c r="V200" s="31">
        <f>T200/(T200+U200)</f>
        <v>0.6</v>
      </c>
      <c r="W200" s="31">
        <f>G200/(G200+H200)</f>
        <v>0.75</v>
      </c>
      <c r="X200" s="31">
        <f>I200/(I200+J200)</f>
        <v>0.8571428571428571</v>
      </c>
      <c r="Y200" s="31">
        <f>K200/(K200+L200)</f>
        <v>0.25</v>
      </c>
      <c r="Z200" s="31">
        <f>M200/(M200+N200)</f>
        <v>0.58333333333333337</v>
      </c>
      <c r="AA200" s="31" t="e">
        <f>O200/(O200+P200)</f>
        <v>#DIV/0!</v>
      </c>
    </row>
    <row r="201" spans="1:29" x14ac:dyDescent="0.3">
      <c r="A201" s="9" t="s">
        <v>237</v>
      </c>
      <c r="B201" s="5" t="s">
        <v>309</v>
      </c>
      <c r="C201" s="7" t="s">
        <v>238</v>
      </c>
      <c r="D201" s="7" t="s">
        <v>474</v>
      </c>
      <c r="E201" s="7" t="s">
        <v>448</v>
      </c>
      <c r="F201" s="7" t="s">
        <v>239</v>
      </c>
      <c r="G201" s="13">
        <v>6</v>
      </c>
      <c r="H201" s="14">
        <v>3</v>
      </c>
      <c r="I201" s="14">
        <v>3</v>
      </c>
      <c r="J201" s="14">
        <v>6</v>
      </c>
      <c r="K201" s="14">
        <v>6</v>
      </c>
      <c r="L201" s="14">
        <v>4</v>
      </c>
      <c r="M201" s="14">
        <v>6</v>
      </c>
      <c r="N201" s="14">
        <v>2</v>
      </c>
      <c r="O201" s="14"/>
      <c r="P201" s="15"/>
      <c r="Q201" s="7" t="s">
        <v>225</v>
      </c>
      <c r="R201" s="7" t="s">
        <v>482</v>
      </c>
      <c r="S201" s="7" t="s">
        <v>450</v>
      </c>
      <c r="T201">
        <f>G201+I201+K201+M201+O201</f>
        <v>21</v>
      </c>
      <c r="U201">
        <f>H201+J201+L201+N201+P201</f>
        <v>15</v>
      </c>
      <c r="V201" s="31">
        <f>T201/(T201+U201)</f>
        <v>0.58333333333333337</v>
      </c>
      <c r="W201" s="31">
        <f>G201/(G201+H201)</f>
        <v>0.66666666666666663</v>
      </c>
      <c r="X201" s="31">
        <f>I201/(I201+J201)</f>
        <v>0.33333333333333331</v>
      </c>
      <c r="Y201" s="31">
        <f>K201/(K201+L201)</f>
        <v>0.6</v>
      </c>
      <c r="Z201" s="31">
        <f>M201/(M201+N201)</f>
        <v>0.75</v>
      </c>
      <c r="AA201" s="31" t="e">
        <f>O201/(O201+P201)</f>
        <v>#DIV/0!</v>
      </c>
    </row>
    <row r="202" spans="1:29" x14ac:dyDescent="0.3">
      <c r="A202" s="8" t="s">
        <v>216</v>
      </c>
      <c r="B202" s="5" t="s">
        <v>309</v>
      </c>
      <c r="C202" s="5" t="s">
        <v>214</v>
      </c>
      <c r="D202" s="5" t="s">
        <v>474</v>
      </c>
      <c r="E202" s="11" t="s">
        <v>448</v>
      </c>
      <c r="F202" s="5" t="s">
        <v>217</v>
      </c>
      <c r="G202" s="16">
        <v>6</v>
      </c>
      <c r="H202" s="17">
        <v>3</v>
      </c>
      <c r="I202" s="17">
        <v>6</v>
      </c>
      <c r="J202" s="17">
        <v>3</v>
      </c>
      <c r="K202" s="17">
        <v>6</v>
      </c>
      <c r="L202" s="17">
        <v>2</v>
      </c>
      <c r="M202" s="17"/>
      <c r="N202" s="17"/>
      <c r="O202" s="17"/>
      <c r="P202" s="18"/>
      <c r="Q202" s="5" t="s">
        <v>215</v>
      </c>
      <c r="R202" s="5" t="s">
        <v>474</v>
      </c>
      <c r="S202" s="5" t="s">
        <v>448</v>
      </c>
      <c r="T202">
        <f>G202+I202+K202+M202+O202</f>
        <v>18</v>
      </c>
      <c r="U202">
        <f>H202+J202+L202+N202+P202</f>
        <v>8</v>
      </c>
      <c r="V202" s="31">
        <f>T202/(T202+U202)</f>
        <v>0.69230769230769229</v>
      </c>
      <c r="W202" s="31">
        <f>G202/(G202+H202)</f>
        <v>0.66666666666666663</v>
      </c>
      <c r="X202" s="31">
        <f>I202/(I202+J202)</f>
        <v>0.66666666666666663</v>
      </c>
      <c r="Y202" s="31">
        <f>K202/(K202+L202)</f>
        <v>0.75</v>
      </c>
      <c r="Z202" s="31" t="e">
        <f>M202/(M202+N202)</f>
        <v>#DIV/0!</v>
      </c>
      <c r="AA202" s="31" t="e">
        <f>O202/(O202+P202)</f>
        <v>#DIV/0!</v>
      </c>
    </row>
    <row r="203" spans="1:29" x14ac:dyDescent="0.3">
      <c r="A203" s="8" t="s">
        <v>210</v>
      </c>
      <c r="B203" s="5" t="s">
        <v>309</v>
      </c>
      <c r="C203" s="5" t="s">
        <v>211</v>
      </c>
      <c r="D203" s="5" t="s">
        <v>474</v>
      </c>
      <c r="E203" s="11" t="s">
        <v>448</v>
      </c>
      <c r="F203" s="5" t="s">
        <v>519</v>
      </c>
      <c r="G203" s="16">
        <v>7</v>
      </c>
      <c r="H203" s="17">
        <v>5</v>
      </c>
      <c r="I203" s="17">
        <v>7</v>
      </c>
      <c r="J203" s="17">
        <v>6</v>
      </c>
      <c r="K203" s="17">
        <v>6</v>
      </c>
      <c r="L203" s="17">
        <v>2</v>
      </c>
      <c r="M203" s="17"/>
      <c r="N203" s="17"/>
      <c r="O203" s="17"/>
      <c r="P203" s="18"/>
      <c r="Q203" s="5" t="s">
        <v>212</v>
      </c>
      <c r="R203" s="5" t="s">
        <v>471</v>
      </c>
      <c r="S203" s="5" t="s">
        <v>467</v>
      </c>
      <c r="T203">
        <f>G203+I203+K203+M203+O203</f>
        <v>20</v>
      </c>
      <c r="U203">
        <f>H203+J203+L203+N203+P203</f>
        <v>13</v>
      </c>
      <c r="V203" s="31">
        <f>T203/(T203+U203)</f>
        <v>0.60606060606060608</v>
      </c>
      <c r="W203" s="31">
        <f>G203/(G203+H203)</f>
        <v>0.58333333333333337</v>
      </c>
      <c r="X203" s="31">
        <f>I203/(I203+J203)</f>
        <v>0.53846153846153844</v>
      </c>
      <c r="Y203" s="31">
        <f>K203/(K203+L203)</f>
        <v>0.75</v>
      </c>
      <c r="Z203" s="31" t="e">
        <f>M203/(M203+N203)</f>
        <v>#DIV/0!</v>
      </c>
      <c r="AA203" s="31" t="e">
        <f>O203/(O203+P203)</f>
        <v>#DIV/0!</v>
      </c>
    </row>
    <row r="204" spans="1:29" x14ac:dyDescent="0.3">
      <c r="A204" s="9" t="s">
        <v>445</v>
      </c>
      <c r="B204" s="5" t="s">
        <v>309</v>
      </c>
      <c r="C204" s="7" t="s">
        <v>203</v>
      </c>
      <c r="D204" s="7" t="s">
        <v>474</v>
      </c>
      <c r="E204" s="7" t="s">
        <v>448</v>
      </c>
      <c r="F204" s="7" t="s">
        <v>517</v>
      </c>
      <c r="G204" s="13">
        <v>6</v>
      </c>
      <c r="H204" s="14">
        <v>3</v>
      </c>
      <c r="I204" s="14">
        <v>7</v>
      </c>
      <c r="J204" s="14">
        <v>6</v>
      </c>
      <c r="K204" s="14">
        <v>5</v>
      </c>
      <c r="L204" s="14">
        <v>7</v>
      </c>
      <c r="M204" s="14">
        <v>3</v>
      </c>
      <c r="N204" s="14">
        <v>6</v>
      </c>
      <c r="O204" s="14">
        <v>6</v>
      </c>
      <c r="P204" s="15">
        <v>2</v>
      </c>
      <c r="Q204" s="7" t="s">
        <v>204</v>
      </c>
      <c r="R204" s="7" t="s">
        <v>464</v>
      </c>
      <c r="S204" s="7" t="s">
        <v>457</v>
      </c>
      <c r="T204">
        <f>G204+I204+K204+M204+O204</f>
        <v>27</v>
      </c>
      <c r="U204">
        <f>H204+J204+L204+N204+P204</f>
        <v>24</v>
      </c>
      <c r="V204" s="31">
        <f>T204/(T204+U204)</f>
        <v>0.52941176470588236</v>
      </c>
      <c r="W204" s="31">
        <f>G204/(G204+H204)</f>
        <v>0.66666666666666663</v>
      </c>
      <c r="X204" s="31">
        <f>I204/(I204+J204)</f>
        <v>0.53846153846153844</v>
      </c>
      <c r="Y204" s="31">
        <f>K204/(K204+L204)</f>
        <v>0.41666666666666669</v>
      </c>
      <c r="Z204" s="31">
        <f>M204/(M204+N204)</f>
        <v>0.33333333333333331</v>
      </c>
      <c r="AA204" s="31">
        <f>O204/(O204+P204)</f>
        <v>0.75</v>
      </c>
    </row>
    <row r="205" spans="1:29" x14ac:dyDescent="0.3">
      <c r="A205" s="8" t="s">
        <v>446</v>
      </c>
      <c r="B205" s="5" t="s">
        <v>309</v>
      </c>
      <c r="C205" s="5" t="s">
        <v>200</v>
      </c>
      <c r="D205" s="5" t="s">
        <v>474</v>
      </c>
      <c r="E205" s="11" t="s">
        <v>448</v>
      </c>
      <c r="F205" s="5" t="s">
        <v>202</v>
      </c>
      <c r="G205" s="16">
        <v>6</v>
      </c>
      <c r="H205" s="17">
        <v>3</v>
      </c>
      <c r="I205" s="17">
        <v>6</v>
      </c>
      <c r="J205" s="17">
        <v>3</v>
      </c>
      <c r="K205" s="17">
        <v>6</v>
      </c>
      <c r="L205" s="17">
        <v>3</v>
      </c>
      <c r="M205" s="17"/>
      <c r="N205" s="17"/>
      <c r="O205" s="17"/>
      <c r="P205" s="18"/>
      <c r="Q205" s="5" t="s">
        <v>201</v>
      </c>
      <c r="R205" s="5" t="s">
        <v>487</v>
      </c>
      <c r="S205" s="5" t="s">
        <v>468</v>
      </c>
      <c r="T205">
        <f>G205+I205+K205+M205+O205</f>
        <v>18</v>
      </c>
      <c r="U205">
        <f>H205+J205+L205+N205+P205</f>
        <v>9</v>
      </c>
      <c r="V205" s="31">
        <f>T205/(T205+U205)</f>
        <v>0.66666666666666663</v>
      </c>
      <c r="W205" s="31">
        <f>G205/(G205+H205)</f>
        <v>0.66666666666666663</v>
      </c>
      <c r="X205" s="31">
        <f>I205/(I205+J205)</f>
        <v>0.66666666666666663</v>
      </c>
      <c r="Y205" s="31">
        <f>K205/(K205+L205)</f>
        <v>0.66666666666666663</v>
      </c>
      <c r="Z205" s="31" t="e">
        <f>M205/(M205+N205)</f>
        <v>#DIV/0!</v>
      </c>
      <c r="AA205" s="31" t="e">
        <f>O205/(O205+P205)</f>
        <v>#DIV/0!</v>
      </c>
    </row>
    <row r="206" spans="1:29" x14ac:dyDescent="0.3">
      <c r="A206" s="9" t="s">
        <v>193</v>
      </c>
      <c r="B206" s="5" t="s">
        <v>309</v>
      </c>
      <c r="C206" s="7" t="s">
        <v>194</v>
      </c>
      <c r="D206" s="7" t="s">
        <v>474</v>
      </c>
      <c r="E206" s="7" t="s">
        <v>448</v>
      </c>
      <c r="F206" s="7" t="s">
        <v>515</v>
      </c>
      <c r="G206" s="13">
        <v>7</v>
      </c>
      <c r="H206" s="14">
        <v>6</v>
      </c>
      <c r="I206" s="14">
        <v>6</v>
      </c>
      <c r="J206" s="14">
        <v>4</v>
      </c>
      <c r="K206" s="14">
        <v>4</v>
      </c>
      <c r="L206" s="14">
        <v>6</v>
      </c>
      <c r="M206" s="14">
        <v>6</v>
      </c>
      <c r="N206" s="14">
        <v>3</v>
      </c>
      <c r="O206" s="14"/>
      <c r="P206" s="15"/>
      <c r="Q206" s="7" t="s">
        <v>195</v>
      </c>
      <c r="R206" s="7" t="s">
        <v>471</v>
      </c>
      <c r="S206" s="7" t="s">
        <v>467</v>
      </c>
      <c r="T206">
        <f>G206+I206+K206+M206+O206</f>
        <v>23</v>
      </c>
      <c r="U206">
        <f>H206+J206+L206+N206+P206</f>
        <v>19</v>
      </c>
      <c r="V206" s="31">
        <f>T206/(T206+U206)</f>
        <v>0.54761904761904767</v>
      </c>
      <c r="W206" s="31">
        <f>G206/(G206+H206)</f>
        <v>0.53846153846153844</v>
      </c>
      <c r="X206" s="31">
        <f>I206/(I206+J206)</f>
        <v>0.6</v>
      </c>
      <c r="Y206" s="31">
        <f>K206/(K206+L206)</f>
        <v>0.4</v>
      </c>
      <c r="Z206" s="31">
        <f>M206/(M206+N206)</f>
        <v>0.66666666666666663</v>
      </c>
      <c r="AA206" s="31" t="e">
        <f>O206/(O206+P206)</f>
        <v>#DIV/0!</v>
      </c>
    </row>
    <row r="207" spans="1:29" x14ac:dyDescent="0.3">
      <c r="A207" s="9" t="s">
        <v>183</v>
      </c>
      <c r="B207" s="5" t="s">
        <v>309</v>
      </c>
      <c r="C207" s="7" t="s">
        <v>172</v>
      </c>
      <c r="D207" s="7" t="s">
        <v>474</v>
      </c>
      <c r="E207" s="7" t="s">
        <v>448</v>
      </c>
      <c r="F207" s="7" t="s">
        <v>185</v>
      </c>
      <c r="G207" s="13">
        <v>6</v>
      </c>
      <c r="H207" s="14">
        <v>4</v>
      </c>
      <c r="I207" s="14">
        <v>9</v>
      </c>
      <c r="J207" s="14">
        <v>7</v>
      </c>
      <c r="K207" s="14">
        <v>6</v>
      </c>
      <c r="L207" s="14">
        <v>2</v>
      </c>
      <c r="M207" s="14"/>
      <c r="N207" s="14"/>
      <c r="O207" s="14"/>
      <c r="P207" s="15"/>
      <c r="Q207" s="7" t="s">
        <v>184</v>
      </c>
      <c r="R207" s="7" t="s">
        <v>471</v>
      </c>
      <c r="S207" s="7" t="s">
        <v>467</v>
      </c>
      <c r="T207">
        <f>G207+I207+K207+M207+O207</f>
        <v>21</v>
      </c>
      <c r="U207">
        <f>H207+J207+L207+N207+P207</f>
        <v>13</v>
      </c>
      <c r="V207" s="31">
        <f>T207/(T207+U207)</f>
        <v>0.61764705882352944</v>
      </c>
      <c r="W207" s="31">
        <f>G207/(G207+H207)</f>
        <v>0.6</v>
      </c>
      <c r="X207" s="31">
        <f>I207/(I207+J207)</f>
        <v>0.5625</v>
      </c>
      <c r="Y207" s="31">
        <f>K207/(K207+L207)</f>
        <v>0.75</v>
      </c>
      <c r="Z207" s="31" t="e">
        <f>M207/(M207+N207)</f>
        <v>#DIV/0!</v>
      </c>
      <c r="AA207" s="31" t="e">
        <f>O207/(O207+P207)</f>
        <v>#DIV/0!</v>
      </c>
    </row>
    <row r="208" spans="1:29" x14ac:dyDescent="0.3">
      <c r="A208" s="8" t="s">
        <v>153</v>
      </c>
      <c r="B208" s="5" t="s">
        <v>309</v>
      </c>
      <c r="C208" s="5" t="s">
        <v>503</v>
      </c>
      <c r="D208" s="5" t="s">
        <v>474</v>
      </c>
      <c r="E208" s="11" t="s">
        <v>448</v>
      </c>
      <c r="F208" s="5" t="s">
        <v>154</v>
      </c>
      <c r="G208" s="16">
        <v>6</v>
      </c>
      <c r="H208" s="17">
        <v>1</v>
      </c>
      <c r="I208" s="17">
        <v>6</v>
      </c>
      <c r="J208" s="17">
        <v>2</v>
      </c>
      <c r="K208" s="17">
        <v>3</v>
      </c>
      <c r="L208" s="17">
        <v>6</v>
      </c>
      <c r="M208" s="17">
        <v>6</v>
      </c>
      <c r="N208" s="17">
        <v>3</v>
      </c>
      <c r="O208" s="17"/>
      <c r="P208" s="18"/>
      <c r="Q208" s="5" t="s">
        <v>148</v>
      </c>
      <c r="R208" s="5" t="s">
        <v>471</v>
      </c>
      <c r="S208" s="5" t="s">
        <v>467</v>
      </c>
      <c r="T208">
        <f>G208+I208+K208+M208+O208</f>
        <v>21</v>
      </c>
      <c r="U208">
        <f>H208+J208+L208+N208+P208</f>
        <v>12</v>
      </c>
      <c r="V208" s="31">
        <f>T208/(T208+U208)</f>
        <v>0.63636363636363635</v>
      </c>
      <c r="W208" s="31">
        <f>G208/(G208+H208)</f>
        <v>0.8571428571428571</v>
      </c>
      <c r="X208" s="31">
        <f>I208/(I208+J208)</f>
        <v>0.75</v>
      </c>
      <c r="Y208" s="31">
        <f>K208/(K208+L208)</f>
        <v>0.33333333333333331</v>
      </c>
      <c r="Z208" s="31">
        <f>M208/(M208+N208)</f>
        <v>0.66666666666666663</v>
      </c>
      <c r="AA208" s="31" t="e">
        <f>O208/(O208+P208)</f>
        <v>#DIV/0!</v>
      </c>
    </row>
    <row r="209" spans="1:27" x14ac:dyDescent="0.3">
      <c r="A209" s="8" t="s">
        <v>129</v>
      </c>
      <c r="B209" s="5" t="s">
        <v>309</v>
      </c>
      <c r="C209" s="5" t="s">
        <v>130</v>
      </c>
      <c r="D209" s="5" t="s">
        <v>474</v>
      </c>
      <c r="E209" s="11" t="s">
        <v>448</v>
      </c>
      <c r="F209" s="5" t="s">
        <v>131</v>
      </c>
      <c r="G209" s="16">
        <v>6</v>
      </c>
      <c r="H209" s="17">
        <v>3</v>
      </c>
      <c r="I209" s="17">
        <v>2</v>
      </c>
      <c r="J209" s="17">
        <v>6</v>
      </c>
      <c r="K209" s="17">
        <v>6</v>
      </c>
      <c r="L209" s="17">
        <v>3</v>
      </c>
      <c r="M209" s="17">
        <v>6</v>
      </c>
      <c r="N209" s="17">
        <v>1</v>
      </c>
      <c r="O209" s="17"/>
      <c r="P209" s="18"/>
      <c r="Q209" s="5" t="s">
        <v>127</v>
      </c>
      <c r="R209" s="5" t="s">
        <v>471</v>
      </c>
      <c r="S209" s="5" t="s">
        <v>467</v>
      </c>
      <c r="T209">
        <f>G209+I209+K209+M209+O209</f>
        <v>20</v>
      </c>
      <c r="U209">
        <f>H209+J209+L209+N209+P209</f>
        <v>13</v>
      </c>
      <c r="V209" s="31">
        <f>T209/(T209+U209)</f>
        <v>0.60606060606060608</v>
      </c>
      <c r="W209" s="31">
        <f>G209/(G209+H209)</f>
        <v>0.66666666666666663</v>
      </c>
      <c r="X209" s="31">
        <f>I209/(I209+J209)</f>
        <v>0.25</v>
      </c>
      <c r="Y209" s="31">
        <f>K209/(K209+L209)</f>
        <v>0.66666666666666663</v>
      </c>
      <c r="Z209" s="31">
        <f>M209/(M209+N209)</f>
        <v>0.8571428571428571</v>
      </c>
      <c r="AA209" s="31" t="e">
        <f>O209/(O209+P209)</f>
        <v>#DIV/0!</v>
      </c>
    </row>
    <row r="210" spans="1:27" x14ac:dyDescent="0.3">
      <c r="A210" s="8" t="s">
        <v>109</v>
      </c>
      <c r="B210" s="5" t="s">
        <v>309</v>
      </c>
      <c r="C210" s="5" t="s">
        <v>110</v>
      </c>
      <c r="D210" s="5" t="s">
        <v>474</v>
      </c>
      <c r="E210" s="11" t="s">
        <v>448</v>
      </c>
      <c r="F210" s="5" t="s">
        <v>111</v>
      </c>
      <c r="G210" s="16">
        <v>6</v>
      </c>
      <c r="H210" s="17">
        <v>4</v>
      </c>
      <c r="I210" s="17">
        <v>6</v>
      </c>
      <c r="J210" s="17">
        <v>2</v>
      </c>
      <c r="K210" s="17">
        <v>6</v>
      </c>
      <c r="L210" s="17">
        <v>1</v>
      </c>
      <c r="M210" s="17"/>
      <c r="N210" s="17"/>
      <c r="O210" s="17"/>
      <c r="P210" s="18"/>
      <c r="Q210" s="5" t="s">
        <v>107</v>
      </c>
      <c r="R210" s="5" t="s">
        <v>471</v>
      </c>
      <c r="S210" s="5" t="s">
        <v>467</v>
      </c>
      <c r="T210">
        <f>G210+I210+K210+M210+O210</f>
        <v>18</v>
      </c>
      <c r="U210">
        <f>H210+J210+L210+N210+P210</f>
        <v>7</v>
      </c>
      <c r="V210" s="31">
        <f>T210/(T210+U210)</f>
        <v>0.72</v>
      </c>
      <c r="W210" s="31">
        <f>G210/(G210+H210)</f>
        <v>0.6</v>
      </c>
      <c r="X210" s="31">
        <f>I210/(I210+J210)</f>
        <v>0.75</v>
      </c>
      <c r="Y210" s="31">
        <f>K210/(K210+L210)</f>
        <v>0.8571428571428571</v>
      </c>
      <c r="Z210" s="31" t="e">
        <f>M210/(M210+N210)</f>
        <v>#DIV/0!</v>
      </c>
      <c r="AA210" s="31" t="e">
        <f>O210/(O210+P210)</f>
        <v>#DIV/0!</v>
      </c>
    </row>
    <row r="211" spans="1:27" x14ac:dyDescent="0.3">
      <c r="A211" s="9" t="s">
        <v>24</v>
      </c>
      <c r="B211" s="5" t="s">
        <v>309</v>
      </c>
      <c r="C211" s="7" t="s">
        <v>25</v>
      </c>
      <c r="D211" s="7" t="s">
        <v>474</v>
      </c>
      <c r="E211" s="7" t="s">
        <v>448</v>
      </c>
      <c r="F211" s="7" t="s">
        <v>27</v>
      </c>
      <c r="G211" s="13">
        <v>3</v>
      </c>
      <c r="H211" s="14">
        <v>6</v>
      </c>
      <c r="I211" s="14">
        <v>3</v>
      </c>
      <c r="J211" s="14">
        <v>6</v>
      </c>
      <c r="K211" s="14">
        <v>6</v>
      </c>
      <c r="L211" s="14">
        <v>0</v>
      </c>
      <c r="M211" s="14">
        <v>6</v>
      </c>
      <c r="N211" s="14">
        <v>2</v>
      </c>
      <c r="O211" s="14">
        <v>6</v>
      </c>
      <c r="P211" s="15">
        <v>3</v>
      </c>
      <c r="Q211" s="7" t="s">
        <v>26</v>
      </c>
      <c r="R211" s="7" t="s">
        <v>471</v>
      </c>
      <c r="S211" s="7" t="s">
        <v>467</v>
      </c>
      <c r="T211">
        <f>G211+I211+K211+M211+O211</f>
        <v>24</v>
      </c>
      <c r="U211">
        <f>H211+J211+L211+N211+P211</f>
        <v>17</v>
      </c>
      <c r="V211" s="31">
        <f>T211/(T211+U211)</f>
        <v>0.58536585365853655</v>
      </c>
      <c r="W211" s="31">
        <f>G211/(G211+H211)</f>
        <v>0.33333333333333331</v>
      </c>
      <c r="X211" s="31">
        <f>I211/(I211+J211)</f>
        <v>0.33333333333333331</v>
      </c>
      <c r="Y211" s="31">
        <f>K211/(K211+L211)</f>
        <v>1</v>
      </c>
      <c r="Z211" s="31">
        <f>M211/(M211+N211)</f>
        <v>0.75</v>
      </c>
      <c r="AA211" s="31">
        <f>O211/(O211+P211)</f>
        <v>0.66666666666666663</v>
      </c>
    </row>
  </sheetData>
  <autoFilter ref="A1:AA211" xr:uid="{00000000-0001-0000-0000-000000000000}">
    <filterColumn colId="1">
      <filters>
        <filter val="Men's"/>
      </filters>
    </filterColumn>
    <sortState xmlns:xlrd2="http://schemas.microsoft.com/office/spreadsheetml/2017/richdata2" ref="A3:AA211">
      <sortCondition ref="E1:E211"/>
    </sortState>
  </autoFilter>
  <sortState xmlns:xlrd2="http://schemas.microsoft.com/office/spreadsheetml/2017/richdata2" ref="A6:S211">
    <sortCondition descending="1" ref="A6:A211"/>
    <sortCondition descending="1" ref="B6:B211"/>
  </sortState>
  <conditionalFormatting sqref="AC2:AC211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37C73-5287-4DB9-A3C2-80CCAC96A7D5}">
  <sheetPr codeName="Sheet2"/>
  <dimension ref="A1:Z47"/>
  <sheetViews>
    <sheetView workbookViewId="0">
      <selection activeCell="F7" sqref="F7"/>
    </sheetView>
  </sheetViews>
  <sheetFormatPr defaultRowHeight="14.4" x14ac:dyDescent="0.3"/>
  <cols>
    <col min="1" max="1" width="8.33203125" bestFit="1" customWidth="1"/>
    <col min="2" max="2" width="9.33203125" bestFit="1" customWidth="1"/>
    <col min="3" max="3" width="20.6640625" bestFit="1" customWidth="1"/>
    <col min="4" max="4" width="20.5546875" bestFit="1" customWidth="1"/>
    <col min="5" max="5" width="17.6640625" bestFit="1" customWidth="1"/>
    <col min="6" max="6" width="15" bestFit="1" customWidth="1"/>
    <col min="7" max="7" width="5.44140625" bestFit="1" customWidth="1"/>
    <col min="8" max="8" width="28" customWidth="1"/>
    <col min="9" max="9" width="14.44140625" customWidth="1"/>
    <col min="10" max="10" width="8.33203125" bestFit="1" customWidth="1"/>
    <col min="11" max="11" width="7.6640625" bestFit="1" customWidth="1"/>
    <col min="12" max="12" width="8.6640625" bestFit="1" customWidth="1"/>
    <col min="13" max="14" width="8.44140625" bestFit="1" customWidth="1"/>
    <col min="15" max="15" width="8" bestFit="1" customWidth="1"/>
    <col min="16" max="16" width="8.44140625" bestFit="1" customWidth="1"/>
    <col min="17" max="17" width="8" bestFit="1" customWidth="1"/>
    <col min="18" max="18" width="8.44140625" bestFit="1" customWidth="1"/>
    <col min="19" max="19" width="8" bestFit="1" customWidth="1"/>
    <col min="20" max="21" width="8" customWidth="1"/>
    <col min="22" max="22" width="11.5546875" customWidth="1"/>
    <col min="23" max="23" width="22.44140625" bestFit="1" customWidth="1"/>
    <col min="24" max="24" width="21" bestFit="1" customWidth="1"/>
    <col min="25" max="25" width="18.33203125" bestFit="1" customWidth="1"/>
    <col min="26" max="26" width="15.44140625" bestFit="1" customWidth="1"/>
  </cols>
  <sheetData>
    <row r="1" spans="1:26" s="1" customFormat="1" x14ac:dyDescent="0.3">
      <c r="A1" s="1" t="s">
        <v>0</v>
      </c>
      <c r="B1" s="2" t="s">
        <v>1</v>
      </c>
      <c r="C1" s="2" t="s">
        <v>2</v>
      </c>
      <c r="D1" s="2" t="s">
        <v>3</v>
      </c>
      <c r="E1" s="20" t="s">
        <v>4</v>
      </c>
      <c r="F1" s="3" t="s">
        <v>5</v>
      </c>
      <c r="G1" s="3" t="s">
        <v>6</v>
      </c>
      <c r="H1" s="1" t="s">
        <v>7</v>
      </c>
      <c r="I1" s="1" t="s">
        <v>566</v>
      </c>
      <c r="J1" s="19" t="s">
        <v>504</v>
      </c>
      <c r="K1" s="19" t="s">
        <v>505</v>
      </c>
      <c r="L1" s="19" t="s">
        <v>506</v>
      </c>
      <c r="M1" s="19" t="s">
        <v>507</v>
      </c>
      <c r="N1" s="19" t="s">
        <v>508</v>
      </c>
      <c r="O1" s="19" t="s">
        <v>509</v>
      </c>
      <c r="P1" s="19" t="s">
        <v>510</v>
      </c>
      <c r="Q1" s="19" t="s">
        <v>511</v>
      </c>
      <c r="R1" s="19" t="s">
        <v>512</v>
      </c>
      <c r="S1" s="19" t="s">
        <v>513</v>
      </c>
      <c r="T1" s="19" t="s">
        <v>563</v>
      </c>
      <c r="U1" s="19" t="s">
        <v>564</v>
      </c>
      <c r="V1" s="19" t="s">
        <v>565</v>
      </c>
      <c r="W1" s="2" t="s">
        <v>8</v>
      </c>
      <c r="X1" s="2" t="s">
        <v>9</v>
      </c>
      <c r="Y1" s="20" t="s">
        <v>10</v>
      </c>
      <c r="Z1" s="3" t="s">
        <v>11</v>
      </c>
    </row>
    <row r="2" spans="1:26" s="24" customFormat="1" x14ac:dyDescent="0.3">
      <c r="A2" s="4" t="s">
        <v>85</v>
      </c>
      <c r="B2" s="5" t="s">
        <v>444</v>
      </c>
      <c r="C2" s="5" t="s">
        <v>316</v>
      </c>
      <c r="D2" s="5" t="s">
        <v>471</v>
      </c>
      <c r="E2" s="5" t="s">
        <v>467</v>
      </c>
      <c r="F2" s="5"/>
      <c r="G2" s="5"/>
      <c r="H2" s="5" t="s">
        <v>323</v>
      </c>
      <c r="I2" s="27">
        <v>0.5</v>
      </c>
      <c r="J2" s="16">
        <v>10</v>
      </c>
      <c r="K2" s="17">
        <v>8</v>
      </c>
      <c r="L2" s="17">
        <v>2</v>
      </c>
      <c r="M2" s="17">
        <v>6</v>
      </c>
      <c r="N2" s="17">
        <v>7</v>
      </c>
      <c r="O2" s="17">
        <v>5</v>
      </c>
      <c r="P2" s="17"/>
      <c r="Q2" s="17"/>
      <c r="R2" s="17"/>
      <c r="S2" s="18"/>
      <c r="T2" s="23">
        <f t="shared" ref="T2:U47" si="0">SUM(J2,L2,N2,P2,R2)</f>
        <v>19</v>
      </c>
      <c r="U2" s="23">
        <f t="shared" si="0"/>
        <v>19</v>
      </c>
      <c r="V2" s="25">
        <f>T2/(T2+U2)</f>
        <v>0.5</v>
      </c>
      <c r="W2" s="5" t="s">
        <v>314</v>
      </c>
      <c r="X2" s="5" t="s">
        <v>471</v>
      </c>
      <c r="Y2" s="5" t="s">
        <v>467</v>
      </c>
      <c r="Z2" s="5"/>
    </row>
    <row r="3" spans="1:26" s="24" customFormat="1" x14ac:dyDescent="0.3">
      <c r="A3" s="6" t="s">
        <v>82</v>
      </c>
      <c r="B3" s="5" t="s">
        <v>444</v>
      </c>
      <c r="C3" s="7" t="s">
        <v>316</v>
      </c>
      <c r="D3" s="7" t="s">
        <v>471</v>
      </c>
      <c r="E3" s="7" t="s">
        <v>467</v>
      </c>
      <c r="F3" s="7"/>
      <c r="G3" s="7"/>
      <c r="H3" s="7" t="s">
        <v>322</v>
      </c>
      <c r="I3" s="26">
        <v>0.62962962962962965</v>
      </c>
      <c r="J3" s="13">
        <v>6</v>
      </c>
      <c r="K3" s="14">
        <v>1</v>
      </c>
      <c r="L3" s="14">
        <v>5</v>
      </c>
      <c r="M3" s="14">
        <v>7</v>
      </c>
      <c r="N3" s="14">
        <v>6</v>
      </c>
      <c r="O3" s="14">
        <v>2</v>
      </c>
      <c r="P3" s="14"/>
      <c r="Q3" s="14"/>
      <c r="R3" s="14"/>
      <c r="S3" s="15"/>
      <c r="T3" s="23">
        <f t="shared" si="0"/>
        <v>17</v>
      </c>
      <c r="U3" s="23">
        <f t="shared" si="0"/>
        <v>10</v>
      </c>
      <c r="V3" s="25">
        <f>T3/(T3+U3)</f>
        <v>0.62962962962962965</v>
      </c>
      <c r="W3" s="7" t="s">
        <v>321</v>
      </c>
      <c r="X3" s="7" t="s">
        <v>471</v>
      </c>
      <c r="Y3" s="7" t="s">
        <v>467</v>
      </c>
      <c r="Z3" s="7"/>
    </row>
    <row r="4" spans="1:26" x14ac:dyDescent="0.3">
      <c r="A4" s="4" t="s">
        <v>78</v>
      </c>
      <c r="B4" s="5" t="s">
        <v>444</v>
      </c>
      <c r="C4" s="5" t="s">
        <v>316</v>
      </c>
      <c r="D4" s="5" t="s">
        <v>471</v>
      </c>
      <c r="E4" s="5" t="s">
        <v>467</v>
      </c>
      <c r="F4" s="5"/>
      <c r="G4" s="5"/>
      <c r="H4" s="5" t="s">
        <v>320</v>
      </c>
      <c r="I4" s="27">
        <v>0.65</v>
      </c>
      <c r="J4" s="16">
        <v>7</v>
      </c>
      <c r="K4" s="17">
        <v>5</v>
      </c>
      <c r="L4" s="17">
        <v>6</v>
      </c>
      <c r="M4" s="17">
        <v>2</v>
      </c>
      <c r="N4" s="17"/>
      <c r="O4" s="17"/>
      <c r="P4" s="17"/>
      <c r="Q4" s="17"/>
      <c r="R4" s="17"/>
      <c r="S4" s="18"/>
      <c r="T4" s="23">
        <f t="shared" si="0"/>
        <v>13</v>
      </c>
      <c r="U4" s="23">
        <f t="shared" si="0"/>
        <v>7</v>
      </c>
      <c r="V4" s="25">
        <f>T4/(T4+U4)</f>
        <v>0.65</v>
      </c>
      <c r="W4" s="5" t="s">
        <v>311</v>
      </c>
      <c r="X4" s="5" t="s">
        <v>471</v>
      </c>
      <c r="Y4" s="5" t="s">
        <v>467</v>
      </c>
      <c r="Z4" s="5"/>
    </row>
    <row r="5" spans="1:26" x14ac:dyDescent="0.3">
      <c r="A5" s="4" t="s">
        <v>72</v>
      </c>
      <c r="B5" s="5" t="s">
        <v>444</v>
      </c>
      <c r="C5" s="5" t="s">
        <v>316</v>
      </c>
      <c r="D5" s="5" t="s">
        <v>471</v>
      </c>
      <c r="E5" s="5" t="s">
        <v>467</v>
      </c>
      <c r="F5" s="5"/>
      <c r="G5" s="5"/>
      <c r="H5" s="5" t="s">
        <v>318</v>
      </c>
      <c r="I5" s="27">
        <v>0.75</v>
      </c>
      <c r="J5" s="16">
        <v>6</v>
      </c>
      <c r="K5" s="17">
        <v>1</v>
      </c>
      <c r="L5" s="17">
        <v>6</v>
      </c>
      <c r="M5" s="17">
        <v>3</v>
      </c>
      <c r="N5" s="17"/>
      <c r="O5" s="17"/>
      <c r="P5" s="17"/>
      <c r="Q5" s="17"/>
      <c r="R5" s="17"/>
      <c r="S5" s="18"/>
      <c r="T5" s="23">
        <f t="shared" si="0"/>
        <v>12</v>
      </c>
      <c r="U5" s="23">
        <f t="shared" si="0"/>
        <v>4</v>
      </c>
      <c r="V5" s="25">
        <f>T5/(T5+U5)</f>
        <v>0.75</v>
      </c>
      <c r="W5" s="5" t="s">
        <v>311</v>
      </c>
      <c r="X5" s="5" t="s">
        <v>471</v>
      </c>
      <c r="Y5" s="5" t="s">
        <v>467</v>
      </c>
      <c r="Z5" s="5"/>
    </row>
    <row r="6" spans="1:26" x14ac:dyDescent="0.3">
      <c r="A6" s="6" t="s">
        <v>70</v>
      </c>
      <c r="B6" s="5" t="s">
        <v>444</v>
      </c>
      <c r="C6" s="7" t="s">
        <v>316</v>
      </c>
      <c r="D6" s="7" t="s">
        <v>471</v>
      </c>
      <c r="E6" s="7" t="s">
        <v>467</v>
      </c>
      <c r="F6" s="7"/>
      <c r="G6" s="7"/>
      <c r="H6" s="7" t="s">
        <v>317</v>
      </c>
      <c r="I6" s="26">
        <v>0.4838709677419355</v>
      </c>
      <c r="J6" s="13">
        <v>1</v>
      </c>
      <c r="K6" s="14">
        <v>6</v>
      </c>
      <c r="L6" s="14">
        <v>8</v>
      </c>
      <c r="M6" s="14">
        <v>6</v>
      </c>
      <c r="N6" s="14">
        <v>6</v>
      </c>
      <c r="O6" s="14">
        <v>4</v>
      </c>
      <c r="P6" s="14"/>
      <c r="Q6" s="14"/>
      <c r="R6" s="14"/>
      <c r="S6" s="15"/>
      <c r="T6" s="23">
        <f t="shared" si="0"/>
        <v>15</v>
      </c>
      <c r="U6" s="23">
        <f t="shared" si="0"/>
        <v>16</v>
      </c>
      <c r="V6" s="25">
        <f>T6/(T6+U6)</f>
        <v>0.4838709677419355</v>
      </c>
      <c r="W6" s="7" t="s">
        <v>311</v>
      </c>
      <c r="X6" s="7" t="s">
        <v>471</v>
      </c>
      <c r="Y6" s="7" t="s">
        <v>467</v>
      </c>
      <c r="Z6" s="7"/>
    </row>
    <row r="7" spans="1:26" x14ac:dyDescent="0.3">
      <c r="A7" s="4" t="s">
        <v>171</v>
      </c>
      <c r="B7" s="5" t="s">
        <v>444</v>
      </c>
      <c r="C7" s="5" t="s">
        <v>366</v>
      </c>
      <c r="D7" s="5" t="s">
        <v>471</v>
      </c>
      <c r="E7" s="5" t="s">
        <v>467</v>
      </c>
      <c r="F7" s="5"/>
      <c r="G7" s="5"/>
      <c r="H7" s="5" t="s">
        <v>374</v>
      </c>
      <c r="I7" s="27"/>
      <c r="J7" s="13"/>
      <c r="K7" s="14"/>
      <c r="L7" s="14"/>
      <c r="M7" s="14"/>
      <c r="N7" s="14"/>
      <c r="O7" s="14"/>
      <c r="P7" s="14"/>
      <c r="Q7" s="14"/>
      <c r="R7" s="14"/>
      <c r="S7" s="15"/>
      <c r="T7" s="23">
        <f t="shared" si="0"/>
        <v>0</v>
      </c>
      <c r="U7" s="23">
        <f t="shared" si="0"/>
        <v>0</v>
      </c>
      <c r="V7" s="25"/>
      <c r="W7" s="5" t="s">
        <v>373</v>
      </c>
      <c r="X7" s="5" t="s">
        <v>474</v>
      </c>
      <c r="Y7" s="5" t="s">
        <v>448</v>
      </c>
      <c r="Z7" s="5"/>
    </row>
    <row r="8" spans="1:26" x14ac:dyDescent="0.3">
      <c r="A8" s="6" t="s">
        <v>169</v>
      </c>
      <c r="B8" s="5" t="s">
        <v>444</v>
      </c>
      <c r="C8" s="7" t="s">
        <v>366</v>
      </c>
      <c r="D8" s="7" t="s">
        <v>471</v>
      </c>
      <c r="E8" s="7" t="s">
        <v>467</v>
      </c>
      <c r="F8" s="7"/>
      <c r="G8" s="7"/>
      <c r="H8" s="7" t="s">
        <v>372</v>
      </c>
      <c r="I8" s="26">
        <v>0.55172413793103448</v>
      </c>
      <c r="J8" s="16">
        <v>5</v>
      </c>
      <c r="K8" s="17">
        <v>7</v>
      </c>
      <c r="L8" s="17">
        <v>6</v>
      </c>
      <c r="M8" s="17">
        <v>4</v>
      </c>
      <c r="N8" s="17">
        <v>5</v>
      </c>
      <c r="O8" s="17">
        <v>2</v>
      </c>
      <c r="P8" s="17"/>
      <c r="Q8" s="17"/>
      <c r="R8" s="17"/>
      <c r="S8" s="18"/>
      <c r="T8" s="23">
        <f t="shared" si="0"/>
        <v>16</v>
      </c>
      <c r="U8" s="23">
        <f t="shared" si="0"/>
        <v>13</v>
      </c>
      <c r="V8" s="25">
        <f t="shared" ref="V8:V47" si="1">T8/(T8+U8)</f>
        <v>0.55172413793103448</v>
      </c>
      <c r="W8" s="7" t="s">
        <v>371</v>
      </c>
      <c r="X8" s="7" t="s">
        <v>495</v>
      </c>
      <c r="Y8" s="7" t="s">
        <v>501</v>
      </c>
      <c r="Z8" s="7"/>
    </row>
    <row r="9" spans="1:26" x14ac:dyDescent="0.3">
      <c r="A9" s="4" t="s">
        <v>166</v>
      </c>
      <c r="B9" s="5" t="s">
        <v>444</v>
      </c>
      <c r="C9" s="5" t="s">
        <v>366</v>
      </c>
      <c r="D9" s="5" t="s">
        <v>471</v>
      </c>
      <c r="E9" s="5" t="s">
        <v>467</v>
      </c>
      <c r="F9" s="5"/>
      <c r="G9" s="5"/>
      <c r="H9" s="5" t="s">
        <v>341</v>
      </c>
      <c r="I9" s="27">
        <v>0.70588235294117652</v>
      </c>
      <c r="J9" s="13">
        <v>6</v>
      </c>
      <c r="K9" s="14">
        <v>3</v>
      </c>
      <c r="L9" s="14">
        <v>6</v>
      </c>
      <c r="M9" s="14">
        <v>2</v>
      </c>
      <c r="N9" s="14"/>
      <c r="O9" s="14"/>
      <c r="P9" s="14"/>
      <c r="Q9" s="14"/>
      <c r="R9" s="14"/>
      <c r="S9" s="15"/>
      <c r="T9" s="23">
        <f t="shared" si="0"/>
        <v>12</v>
      </c>
      <c r="U9" s="23">
        <f t="shared" si="0"/>
        <v>5</v>
      </c>
      <c r="V9" s="25">
        <f t="shared" si="1"/>
        <v>0.70588235294117652</v>
      </c>
      <c r="W9" s="5" t="s">
        <v>370</v>
      </c>
      <c r="X9" s="5" t="s">
        <v>471</v>
      </c>
      <c r="Y9" s="5" t="s">
        <v>467</v>
      </c>
      <c r="Z9" s="5"/>
    </row>
    <row r="10" spans="1:26" x14ac:dyDescent="0.3">
      <c r="A10" s="6" t="s">
        <v>163</v>
      </c>
      <c r="B10" s="5" t="s">
        <v>444</v>
      </c>
      <c r="C10" s="7" t="s">
        <v>366</v>
      </c>
      <c r="D10" s="7" t="s">
        <v>471</v>
      </c>
      <c r="E10" s="7" t="s">
        <v>467</v>
      </c>
      <c r="F10" s="7"/>
      <c r="G10" s="7"/>
      <c r="H10" s="7" t="s">
        <v>369</v>
      </c>
      <c r="I10" s="26">
        <v>0.75</v>
      </c>
      <c r="J10" s="16">
        <v>6</v>
      </c>
      <c r="K10" s="17">
        <v>2</v>
      </c>
      <c r="L10" s="17">
        <v>6</v>
      </c>
      <c r="M10" s="17">
        <v>2</v>
      </c>
      <c r="N10" s="17"/>
      <c r="O10" s="17"/>
      <c r="P10" s="17"/>
      <c r="Q10" s="17"/>
      <c r="R10" s="17"/>
      <c r="S10" s="18"/>
      <c r="T10" s="23">
        <f t="shared" si="0"/>
        <v>12</v>
      </c>
      <c r="U10" s="23">
        <f t="shared" si="0"/>
        <v>4</v>
      </c>
      <c r="V10" s="25">
        <f t="shared" si="1"/>
        <v>0.75</v>
      </c>
      <c r="W10" s="7" t="s">
        <v>367</v>
      </c>
      <c r="X10" s="7" t="s">
        <v>471</v>
      </c>
      <c r="Y10" s="7" t="s">
        <v>467</v>
      </c>
      <c r="Z10" s="7"/>
    </row>
    <row r="11" spans="1:26" x14ac:dyDescent="0.3">
      <c r="A11" s="4" t="s">
        <v>161</v>
      </c>
      <c r="B11" s="5" t="s">
        <v>444</v>
      </c>
      <c r="C11" s="5" t="s">
        <v>366</v>
      </c>
      <c r="D11" s="5" t="s">
        <v>471</v>
      </c>
      <c r="E11" s="5" t="s">
        <v>467</v>
      </c>
      <c r="F11" s="5"/>
      <c r="G11" s="5"/>
      <c r="H11" s="5" t="s">
        <v>368</v>
      </c>
      <c r="I11" s="27">
        <v>0.8571428571428571</v>
      </c>
      <c r="J11" s="13">
        <v>6</v>
      </c>
      <c r="K11" s="14">
        <v>0</v>
      </c>
      <c r="L11" s="14">
        <v>6</v>
      </c>
      <c r="M11" s="14">
        <v>2</v>
      </c>
      <c r="N11" s="14"/>
      <c r="O11" s="14"/>
      <c r="P11" s="14"/>
      <c r="Q11" s="14"/>
      <c r="R11" s="14"/>
      <c r="S11" s="15"/>
      <c r="T11" s="23">
        <f t="shared" si="0"/>
        <v>12</v>
      </c>
      <c r="U11" s="23">
        <f t="shared" si="0"/>
        <v>2</v>
      </c>
      <c r="V11" s="25">
        <f t="shared" si="1"/>
        <v>0.8571428571428571</v>
      </c>
      <c r="W11" s="5" t="s">
        <v>367</v>
      </c>
      <c r="X11" s="5" t="s">
        <v>471</v>
      </c>
      <c r="Y11" s="5" t="s">
        <v>467</v>
      </c>
      <c r="Z11" s="5"/>
    </row>
    <row r="12" spans="1:26" x14ac:dyDescent="0.3">
      <c r="A12" s="6" t="s">
        <v>158</v>
      </c>
      <c r="B12" s="5" t="s">
        <v>444</v>
      </c>
      <c r="C12" s="7" t="s">
        <v>366</v>
      </c>
      <c r="D12" s="7" t="s">
        <v>471</v>
      </c>
      <c r="E12" s="7" t="s">
        <v>467</v>
      </c>
      <c r="F12" s="7"/>
      <c r="G12" s="7"/>
      <c r="H12" s="7" t="s">
        <v>331</v>
      </c>
      <c r="I12" s="26">
        <v>0.70588235294117652</v>
      </c>
      <c r="J12" s="16">
        <v>6</v>
      </c>
      <c r="K12" s="17">
        <v>1</v>
      </c>
      <c r="L12" s="17">
        <v>6</v>
      </c>
      <c r="M12" s="17">
        <v>4</v>
      </c>
      <c r="N12" s="17"/>
      <c r="O12" s="17"/>
      <c r="P12" s="17"/>
      <c r="Q12" s="17"/>
      <c r="R12" s="17"/>
      <c r="S12" s="18"/>
      <c r="T12" s="23">
        <f t="shared" si="0"/>
        <v>12</v>
      </c>
      <c r="U12" s="23">
        <f t="shared" si="0"/>
        <v>5</v>
      </c>
      <c r="V12" s="25">
        <f t="shared" si="1"/>
        <v>0.70588235294117652</v>
      </c>
      <c r="W12" s="7" t="s">
        <v>367</v>
      </c>
      <c r="X12" s="7" t="s">
        <v>471</v>
      </c>
      <c r="Y12" s="7" t="s">
        <v>467</v>
      </c>
      <c r="Z12" s="7"/>
    </row>
    <row r="13" spans="1:26" x14ac:dyDescent="0.3">
      <c r="A13" s="6" t="s">
        <v>129</v>
      </c>
      <c r="B13" s="5" t="s">
        <v>444</v>
      </c>
      <c r="C13" s="7" t="s">
        <v>335</v>
      </c>
      <c r="D13" s="7" t="s">
        <v>471</v>
      </c>
      <c r="E13" s="7" t="s">
        <v>467</v>
      </c>
      <c r="F13" s="7"/>
      <c r="G13" s="7"/>
      <c r="H13" s="7" t="s">
        <v>313</v>
      </c>
      <c r="I13" s="26">
        <v>0.68421052631578949</v>
      </c>
      <c r="J13" s="16">
        <v>6</v>
      </c>
      <c r="K13" s="17">
        <v>1</v>
      </c>
      <c r="L13" s="17">
        <v>7</v>
      </c>
      <c r="M13" s="17">
        <v>5</v>
      </c>
      <c r="N13" s="17"/>
      <c r="O13" s="17"/>
      <c r="P13" s="17"/>
      <c r="Q13" s="17"/>
      <c r="R13" s="17"/>
      <c r="S13" s="18"/>
      <c r="T13" s="23">
        <f t="shared" si="0"/>
        <v>13</v>
      </c>
      <c r="U13" s="23">
        <f t="shared" si="0"/>
        <v>6</v>
      </c>
      <c r="V13" s="25">
        <f t="shared" si="1"/>
        <v>0.68421052631578949</v>
      </c>
      <c r="W13" s="7" t="s">
        <v>344</v>
      </c>
      <c r="X13" s="7" t="s">
        <v>471</v>
      </c>
      <c r="Y13" s="7" t="s">
        <v>467</v>
      </c>
      <c r="Z13" s="7"/>
    </row>
    <row r="14" spans="1:26" x14ac:dyDescent="0.3">
      <c r="A14" s="4" t="s">
        <v>121</v>
      </c>
      <c r="B14" s="5" t="s">
        <v>444</v>
      </c>
      <c r="C14" s="5" t="s">
        <v>335</v>
      </c>
      <c r="D14" s="5" t="s">
        <v>471</v>
      </c>
      <c r="E14" s="5" t="s">
        <v>467</v>
      </c>
      <c r="F14" s="5"/>
      <c r="G14" s="5"/>
      <c r="H14" s="5" t="s">
        <v>348</v>
      </c>
      <c r="I14" s="27">
        <v>0.75</v>
      </c>
      <c r="J14" s="13">
        <v>6</v>
      </c>
      <c r="K14" s="14">
        <v>3</v>
      </c>
      <c r="L14" s="14">
        <v>6</v>
      </c>
      <c r="M14" s="14">
        <v>1</v>
      </c>
      <c r="N14" s="14"/>
      <c r="O14" s="14"/>
      <c r="P14" s="14"/>
      <c r="Q14" s="14"/>
      <c r="R14" s="14"/>
      <c r="S14" s="15"/>
      <c r="T14" s="23">
        <f t="shared" si="0"/>
        <v>12</v>
      </c>
      <c r="U14" s="23">
        <f t="shared" si="0"/>
        <v>4</v>
      </c>
      <c r="V14" s="25">
        <f t="shared" si="1"/>
        <v>0.75</v>
      </c>
      <c r="W14" s="5" t="s">
        <v>347</v>
      </c>
      <c r="X14" s="5" t="s">
        <v>471</v>
      </c>
      <c r="Y14" s="5" t="s">
        <v>467</v>
      </c>
      <c r="Z14" s="5"/>
    </row>
    <row r="15" spans="1:26" x14ac:dyDescent="0.3">
      <c r="A15" s="6" t="s">
        <v>119</v>
      </c>
      <c r="B15" s="5" t="s">
        <v>444</v>
      </c>
      <c r="C15" s="7" t="s">
        <v>335</v>
      </c>
      <c r="D15" s="7" t="s">
        <v>471</v>
      </c>
      <c r="E15" s="7" t="s">
        <v>467</v>
      </c>
      <c r="F15" s="7"/>
      <c r="G15" s="7"/>
      <c r="H15" s="7" t="s">
        <v>341</v>
      </c>
      <c r="I15" s="26">
        <v>0.70588235294117652</v>
      </c>
      <c r="J15" s="16">
        <v>6</v>
      </c>
      <c r="K15" s="17">
        <v>3</v>
      </c>
      <c r="L15" s="17">
        <v>6</v>
      </c>
      <c r="M15" s="17">
        <v>2</v>
      </c>
      <c r="N15" s="17"/>
      <c r="O15" s="17"/>
      <c r="P15" s="17"/>
      <c r="Q15" s="17"/>
      <c r="R15" s="17"/>
      <c r="S15" s="18"/>
      <c r="T15" s="23">
        <f t="shared" si="0"/>
        <v>12</v>
      </c>
      <c r="U15" s="23">
        <f t="shared" si="0"/>
        <v>5</v>
      </c>
      <c r="V15" s="25">
        <f t="shared" si="1"/>
        <v>0.70588235294117652</v>
      </c>
      <c r="W15" s="7" t="s">
        <v>342</v>
      </c>
      <c r="X15" s="7" t="s">
        <v>471</v>
      </c>
      <c r="Y15" s="7" t="s">
        <v>467</v>
      </c>
      <c r="Z15" s="7"/>
    </row>
    <row r="16" spans="1:26" x14ac:dyDescent="0.3">
      <c r="A16" s="4" t="s">
        <v>116</v>
      </c>
      <c r="B16" s="5" t="s">
        <v>444</v>
      </c>
      <c r="C16" s="5" t="s">
        <v>335</v>
      </c>
      <c r="D16" s="5" t="s">
        <v>471</v>
      </c>
      <c r="E16" s="5" t="s">
        <v>467</v>
      </c>
      <c r="F16" s="5"/>
      <c r="G16" s="5"/>
      <c r="H16" s="5" t="s">
        <v>336</v>
      </c>
      <c r="I16" s="27">
        <v>0.6</v>
      </c>
      <c r="J16" s="13">
        <v>6</v>
      </c>
      <c r="K16" s="14">
        <v>4</v>
      </c>
      <c r="L16" s="14">
        <v>6</v>
      </c>
      <c r="M16" s="14">
        <v>4</v>
      </c>
      <c r="N16" s="14"/>
      <c r="O16" s="14"/>
      <c r="P16" s="14"/>
      <c r="Q16" s="14"/>
      <c r="R16" s="14"/>
      <c r="S16" s="15"/>
      <c r="T16" s="23">
        <f t="shared" si="0"/>
        <v>12</v>
      </c>
      <c r="U16" s="23">
        <f t="shared" si="0"/>
        <v>8</v>
      </c>
      <c r="V16" s="25">
        <f t="shared" si="1"/>
        <v>0.6</v>
      </c>
      <c r="W16" s="5" t="s">
        <v>346</v>
      </c>
      <c r="X16" s="5" t="s">
        <v>471</v>
      </c>
      <c r="Y16" s="5" t="s">
        <v>467</v>
      </c>
      <c r="Z16" s="5"/>
    </row>
    <row r="17" spans="1:26" x14ac:dyDescent="0.3">
      <c r="A17" s="4" t="s">
        <v>114</v>
      </c>
      <c r="B17" s="5" t="s">
        <v>444</v>
      </c>
      <c r="C17" s="5" t="s">
        <v>335</v>
      </c>
      <c r="D17" s="5" t="s">
        <v>471</v>
      </c>
      <c r="E17" s="5" t="s">
        <v>467</v>
      </c>
      <c r="F17" s="5"/>
      <c r="G17" s="5"/>
      <c r="H17" s="5" t="s">
        <v>345</v>
      </c>
      <c r="I17" s="27">
        <v>0.6071428571428571</v>
      </c>
      <c r="J17" s="16">
        <v>5</v>
      </c>
      <c r="K17" s="17">
        <v>7</v>
      </c>
      <c r="L17" s="17">
        <v>6</v>
      </c>
      <c r="M17" s="17">
        <v>4</v>
      </c>
      <c r="N17" s="17">
        <v>6</v>
      </c>
      <c r="O17" s="17">
        <v>0</v>
      </c>
      <c r="P17" s="17"/>
      <c r="Q17" s="17"/>
      <c r="R17" s="17"/>
      <c r="S17" s="18"/>
      <c r="T17" s="23">
        <f t="shared" si="0"/>
        <v>17</v>
      </c>
      <c r="U17" s="23">
        <f t="shared" si="0"/>
        <v>11</v>
      </c>
      <c r="V17" s="25">
        <f t="shared" si="1"/>
        <v>0.6071428571428571</v>
      </c>
      <c r="W17" s="5" t="s">
        <v>344</v>
      </c>
      <c r="X17" s="5" t="s">
        <v>471</v>
      </c>
      <c r="Y17" s="5" t="s">
        <v>467</v>
      </c>
      <c r="Z17" s="5"/>
    </row>
    <row r="18" spans="1:26" x14ac:dyDescent="0.3">
      <c r="A18" s="6" t="s">
        <v>105</v>
      </c>
      <c r="B18" s="5" t="s">
        <v>444</v>
      </c>
      <c r="C18" s="7" t="s">
        <v>335</v>
      </c>
      <c r="D18" s="7" t="s">
        <v>471</v>
      </c>
      <c r="E18" s="7" t="s">
        <v>467</v>
      </c>
      <c r="F18" s="7"/>
      <c r="G18" s="7"/>
      <c r="H18" s="7" t="s">
        <v>338</v>
      </c>
      <c r="I18" s="26">
        <v>0.54838709677419351</v>
      </c>
      <c r="J18" s="13">
        <v>6</v>
      </c>
      <c r="K18" s="14">
        <v>3</v>
      </c>
      <c r="L18" s="14">
        <v>5</v>
      </c>
      <c r="M18" s="14">
        <v>7</v>
      </c>
      <c r="N18" s="14">
        <v>6</v>
      </c>
      <c r="O18" s="14">
        <v>4</v>
      </c>
      <c r="P18" s="14"/>
      <c r="Q18" s="14"/>
      <c r="R18" s="14"/>
      <c r="S18" s="15"/>
      <c r="T18" s="23">
        <f t="shared" si="0"/>
        <v>17</v>
      </c>
      <c r="U18" s="23">
        <f t="shared" si="0"/>
        <v>14</v>
      </c>
      <c r="V18" s="25">
        <f t="shared" si="1"/>
        <v>0.54838709677419351</v>
      </c>
      <c r="W18" s="7" t="s">
        <v>337</v>
      </c>
      <c r="X18" s="7" t="s">
        <v>471</v>
      </c>
      <c r="Y18" s="7" t="s">
        <v>467</v>
      </c>
      <c r="Z18" s="7"/>
    </row>
    <row r="19" spans="1:26" x14ac:dyDescent="0.3">
      <c r="A19" s="8">
        <v>2023</v>
      </c>
      <c r="B19" s="5" t="s">
        <v>309</v>
      </c>
      <c r="C19" s="5" t="s">
        <v>281</v>
      </c>
      <c r="D19" s="5" t="s">
        <v>472</v>
      </c>
      <c r="E19" s="5" t="s">
        <v>451</v>
      </c>
      <c r="F19" s="17"/>
      <c r="G19" s="17"/>
      <c r="H19" s="28" t="s">
        <v>554</v>
      </c>
      <c r="I19" s="27">
        <v>0.5714285714285714</v>
      </c>
      <c r="J19" s="16">
        <v>6</v>
      </c>
      <c r="K19" s="17">
        <v>3</v>
      </c>
      <c r="L19" s="17">
        <v>7</v>
      </c>
      <c r="M19" s="17">
        <v>6</v>
      </c>
      <c r="N19" s="17">
        <v>7</v>
      </c>
      <c r="O19" s="17">
        <v>6</v>
      </c>
      <c r="P19" s="17"/>
      <c r="Q19" s="17"/>
      <c r="R19" s="17"/>
      <c r="S19" s="18"/>
      <c r="T19" s="23">
        <f t="shared" si="0"/>
        <v>20</v>
      </c>
      <c r="U19" s="23">
        <f t="shared" si="0"/>
        <v>15</v>
      </c>
      <c r="V19" s="25">
        <f t="shared" si="1"/>
        <v>0.5714285714285714</v>
      </c>
      <c r="W19" s="28" t="s">
        <v>558</v>
      </c>
      <c r="X19" s="28" t="s">
        <v>559</v>
      </c>
      <c r="Y19" s="28" t="s">
        <v>560</v>
      </c>
      <c r="Z19" s="17"/>
    </row>
    <row r="20" spans="1:26" x14ac:dyDescent="0.3">
      <c r="A20" s="4" t="s">
        <v>305</v>
      </c>
      <c r="B20" s="5" t="s">
        <v>309</v>
      </c>
      <c r="C20" s="5" t="s">
        <v>281</v>
      </c>
      <c r="D20" s="5" t="s">
        <v>472</v>
      </c>
      <c r="E20" s="5" t="s">
        <v>451</v>
      </c>
      <c r="F20" s="5"/>
      <c r="G20" s="5"/>
      <c r="H20" s="5" t="s">
        <v>307</v>
      </c>
      <c r="I20" s="27">
        <v>0.6785714285714286</v>
      </c>
      <c r="J20" s="16">
        <v>7</v>
      </c>
      <c r="K20" s="17">
        <v>5</v>
      </c>
      <c r="L20" s="17">
        <v>6</v>
      </c>
      <c r="M20" s="17">
        <v>2</v>
      </c>
      <c r="N20" s="17">
        <v>6</v>
      </c>
      <c r="O20" s="17">
        <v>2</v>
      </c>
      <c r="P20" s="17"/>
      <c r="Q20" s="17"/>
      <c r="R20" s="17"/>
      <c r="S20" s="18"/>
      <c r="T20" s="23">
        <f t="shared" si="0"/>
        <v>19</v>
      </c>
      <c r="U20" s="23">
        <f t="shared" si="0"/>
        <v>9</v>
      </c>
      <c r="V20" s="25">
        <f t="shared" si="1"/>
        <v>0.6785714285714286</v>
      </c>
      <c r="W20" s="5" t="s">
        <v>306</v>
      </c>
      <c r="X20" s="5" t="s">
        <v>480</v>
      </c>
      <c r="Y20" s="5" t="s">
        <v>452</v>
      </c>
      <c r="Z20" s="5"/>
    </row>
    <row r="21" spans="1:26" x14ac:dyDescent="0.3">
      <c r="A21" s="6" t="s">
        <v>302</v>
      </c>
      <c r="B21" s="5" t="s">
        <v>309</v>
      </c>
      <c r="C21" s="7" t="s">
        <v>281</v>
      </c>
      <c r="D21" s="7" t="s">
        <v>472</v>
      </c>
      <c r="E21" s="10" t="s">
        <v>451</v>
      </c>
      <c r="F21" s="7"/>
      <c r="G21" s="7"/>
      <c r="H21" s="7" t="s">
        <v>304</v>
      </c>
      <c r="I21" s="26">
        <v>0.51063829787234039</v>
      </c>
      <c r="J21" s="13">
        <v>6</v>
      </c>
      <c r="K21" s="14">
        <v>4</v>
      </c>
      <c r="L21" s="14">
        <v>4</v>
      </c>
      <c r="M21" s="14">
        <v>6</v>
      </c>
      <c r="N21" s="14">
        <v>2</v>
      </c>
      <c r="O21" s="14">
        <v>6</v>
      </c>
      <c r="P21" s="14">
        <v>6</v>
      </c>
      <c r="Q21" s="14">
        <v>3</v>
      </c>
      <c r="R21" s="14">
        <v>6</v>
      </c>
      <c r="S21" s="15">
        <v>4</v>
      </c>
      <c r="T21" s="23">
        <f t="shared" si="0"/>
        <v>24</v>
      </c>
      <c r="U21" s="23">
        <f t="shared" si="0"/>
        <v>23</v>
      </c>
      <c r="V21" s="25">
        <f t="shared" si="1"/>
        <v>0.51063829787234039</v>
      </c>
      <c r="W21" s="7" t="s">
        <v>303</v>
      </c>
      <c r="X21" s="7" t="s">
        <v>489</v>
      </c>
      <c r="Y21" s="7" t="s">
        <v>502</v>
      </c>
      <c r="Z21" s="7"/>
    </row>
    <row r="22" spans="1:26" x14ac:dyDescent="0.3">
      <c r="A22" s="4" t="s">
        <v>300</v>
      </c>
      <c r="B22" s="5" t="s">
        <v>309</v>
      </c>
      <c r="C22" s="5" t="s">
        <v>281</v>
      </c>
      <c r="D22" s="5" t="s">
        <v>472</v>
      </c>
      <c r="E22" s="5" t="s">
        <v>451</v>
      </c>
      <c r="F22" s="5"/>
      <c r="G22" s="5"/>
      <c r="H22" s="5" t="s">
        <v>301</v>
      </c>
      <c r="I22" s="27">
        <v>0.69230769230769229</v>
      </c>
      <c r="J22" s="16">
        <v>6</v>
      </c>
      <c r="K22" s="17">
        <v>3</v>
      </c>
      <c r="L22" s="17">
        <v>6</v>
      </c>
      <c r="M22" s="17">
        <v>2</v>
      </c>
      <c r="N22" s="17">
        <v>6</v>
      </c>
      <c r="O22" s="17">
        <v>3</v>
      </c>
      <c r="P22" s="17"/>
      <c r="Q22" s="17"/>
      <c r="R22" s="17"/>
      <c r="S22" s="18"/>
      <c r="T22" s="23">
        <f t="shared" si="0"/>
        <v>18</v>
      </c>
      <c r="U22" s="23">
        <f t="shared" si="0"/>
        <v>8</v>
      </c>
      <c r="V22" s="25">
        <f t="shared" si="1"/>
        <v>0.69230769230769229</v>
      </c>
      <c r="W22" s="5" t="s">
        <v>284</v>
      </c>
      <c r="X22" s="5" t="s">
        <v>470</v>
      </c>
      <c r="Y22" s="5" t="s">
        <v>460</v>
      </c>
      <c r="Z22" s="5"/>
    </row>
    <row r="23" spans="1:26" x14ac:dyDescent="0.3">
      <c r="A23" s="6" t="s">
        <v>295</v>
      </c>
      <c r="B23" s="5" t="s">
        <v>309</v>
      </c>
      <c r="C23" s="7" t="s">
        <v>281</v>
      </c>
      <c r="D23" s="7" t="s">
        <v>472</v>
      </c>
      <c r="E23" s="10" t="s">
        <v>451</v>
      </c>
      <c r="F23" s="7"/>
      <c r="G23" s="7"/>
      <c r="H23" s="7" t="s">
        <v>536</v>
      </c>
      <c r="I23" s="26">
        <v>0.625</v>
      </c>
      <c r="J23" s="13">
        <v>6</v>
      </c>
      <c r="K23" s="14">
        <v>1</v>
      </c>
      <c r="L23" s="14">
        <v>7</v>
      </c>
      <c r="M23" s="14">
        <v>5</v>
      </c>
      <c r="N23" s="14">
        <v>7</v>
      </c>
      <c r="O23" s="14">
        <v>6</v>
      </c>
      <c r="P23" s="14"/>
      <c r="Q23" s="14"/>
      <c r="R23" s="14"/>
      <c r="S23" s="15"/>
      <c r="T23" s="23">
        <f t="shared" si="0"/>
        <v>20</v>
      </c>
      <c r="U23" s="23">
        <f t="shared" si="0"/>
        <v>12</v>
      </c>
      <c r="V23" s="25">
        <f t="shared" si="1"/>
        <v>0.625</v>
      </c>
      <c r="W23" s="7" t="s">
        <v>286</v>
      </c>
      <c r="X23" s="7" t="s">
        <v>464</v>
      </c>
      <c r="Y23" s="7" t="s">
        <v>457</v>
      </c>
      <c r="Z23" s="7"/>
    </row>
    <row r="24" spans="1:26" x14ac:dyDescent="0.3">
      <c r="A24" s="4" t="s">
        <v>294</v>
      </c>
      <c r="B24" s="5" t="s">
        <v>309</v>
      </c>
      <c r="C24" s="5" t="s">
        <v>281</v>
      </c>
      <c r="D24" s="5" t="s">
        <v>472</v>
      </c>
      <c r="E24" s="5" t="s">
        <v>451</v>
      </c>
      <c r="F24" s="5"/>
      <c r="G24" s="5"/>
      <c r="H24" s="5" t="s">
        <v>535</v>
      </c>
      <c r="I24" s="27">
        <v>0.6097560975609756</v>
      </c>
      <c r="J24" s="16">
        <v>7</v>
      </c>
      <c r="K24" s="17">
        <v>6</v>
      </c>
      <c r="L24" s="17">
        <v>6</v>
      </c>
      <c r="M24" s="17">
        <v>7</v>
      </c>
      <c r="N24" s="17">
        <v>6</v>
      </c>
      <c r="O24" s="17">
        <v>3</v>
      </c>
      <c r="P24" s="17">
        <v>6</v>
      </c>
      <c r="Q24" s="17">
        <v>0</v>
      </c>
      <c r="R24" s="17"/>
      <c r="S24" s="18"/>
      <c r="T24" s="23">
        <f t="shared" si="0"/>
        <v>25</v>
      </c>
      <c r="U24" s="23">
        <f t="shared" si="0"/>
        <v>16</v>
      </c>
      <c r="V24" s="25">
        <f t="shared" si="1"/>
        <v>0.6097560975609756</v>
      </c>
      <c r="W24" s="5" t="s">
        <v>286</v>
      </c>
      <c r="X24" s="5" t="s">
        <v>464</v>
      </c>
      <c r="Y24" s="5" t="s">
        <v>457</v>
      </c>
      <c r="Z24" s="5"/>
    </row>
    <row r="25" spans="1:26" x14ac:dyDescent="0.3">
      <c r="A25" s="4" t="s">
        <v>290</v>
      </c>
      <c r="B25" s="5" t="s">
        <v>309</v>
      </c>
      <c r="C25" s="5" t="s">
        <v>281</v>
      </c>
      <c r="D25" s="5" t="s">
        <v>472</v>
      </c>
      <c r="E25" s="5" t="s">
        <v>451</v>
      </c>
      <c r="F25" s="5"/>
      <c r="G25" s="5"/>
      <c r="H25" s="5" t="s">
        <v>534</v>
      </c>
      <c r="I25" s="27">
        <v>0.58139534883720934</v>
      </c>
      <c r="J25" s="16">
        <v>6</v>
      </c>
      <c r="K25" s="17">
        <v>7</v>
      </c>
      <c r="L25" s="17">
        <v>7</v>
      </c>
      <c r="M25" s="17">
        <v>6</v>
      </c>
      <c r="N25" s="17">
        <v>6</v>
      </c>
      <c r="O25" s="17">
        <v>3</v>
      </c>
      <c r="P25" s="17">
        <v>6</v>
      </c>
      <c r="Q25" s="17">
        <v>2</v>
      </c>
      <c r="R25" s="17"/>
      <c r="S25" s="18"/>
      <c r="T25" s="23">
        <f t="shared" si="0"/>
        <v>25</v>
      </c>
      <c r="U25" s="23">
        <f t="shared" si="0"/>
        <v>18</v>
      </c>
      <c r="V25" s="25">
        <f t="shared" si="1"/>
        <v>0.58139534883720934</v>
      </c>
      <c r="W25" s="5" t="s">
        <v>286</v>
      </c>
      <c r="X25" s="5" t="s">
        <v>464</v>
      </c>
      <c r="Y25" s="5" t="s">
        <v>457</v>
      </c>
      <c r="Z25" s="5"/>
    </row>
    <row r="26" spans="1:26" x14ac:dyDescent="0.3">
      <c r="A26" s="6" t="s">
        <v>289</v>
      </c>
      <c r="B26" s="5" t="s">
        <v>309</v>
      </c>
      <c r="C26" s="7" t="s">
        <v>281</v>
      </c>
      <c r="D26" s="7" t="s">
        <v>472</v>
      </c>
      <c r="E26" s="10" t="s">
        <v>451</v>
      </c>
      <c r="F26" s="7"/>
      <c r="G26" s="7"/>
      <c r="H26" s="7" t="s">
        <v>533</v>
      </c>
      <c r="I26" s="26">
        <v>0.54545454545454541</v>
      </c>
      <c r="J26" s="13">
        <v>5</v>
      </c>
      <c r="K26" s="14">
        <v>7</v>
      </c>
      <c r="L26" s="14">
        <v>6</v>
      </c>
      <c r="M26" s="14">
        <v>4</v>
      </c>
      <c r="N26" s="14">
        <v>6</v>
      </c>
      <c r="O26" s="14">
        <v>2</v>
      </c>
      <c r="P26" s="14">
        <v>6</v>
      </c>
      <c r="Q26" s="14">
        <v>7</v>
      </c>
      <c r="R26" s="14">
        <v>7</v>
      </c>
      <c r="S26" s="15">
        <v>5</v>
      </c>
      <c r="T26" s="23">
        <f t="shared" si="0"/>
        <v>30</v>
      </c>
      <c r="U26" s="23">
        <f t="shared" si="0"/>
        <v>25</v>
      </c>
      <c r="V26" s="25">
        <f t="shared" si="1"/>
        <v>0.54545454545454541</v>
      </c>
      <c r="W26" s="7" t="s">
        <v>284</v>
      </c>
      <c r="X26" s="7" t="s">
        <v>470</v>
      </c>
      <c r="Y26" s="7" t="s">
        <v>460</v>
      </c>
      <c r="Z26" s="7"/>
    </row>
    <row r="27" spans="1:26" x14ac:dyDescent="0.3">
      <c r="A27" s="4" t="s">
        <v>287</v>
      </c>
      <c r="B27" s="5" t="s">
        <v>309</v>
      </c>
      <c r="C27" s="5" t="s">
        <v>281</v>
      </c>
      <c r="D27" s="5" t="s">
        <v>472</v>
      </c>
      <c r="E27" s="5" t="s">
        <v>451</v>
      </c>
      <c r="F27" s="5"/>
      <c r="G27" s="5"/>
      <c r="H27" s="5" t="s">
        <v>288</v>
      </c>
      <c r="I27" s="27">
        <v>0.66666666666666663</v>
      </c>
      <c r="J27" s="16">
        <v>6</v>
      </c>
      <c r="K27" s="17">
        <v>4</v>
      </c>
      <c r="L27" s="17">
        <v>6</v>
      </c>
      <c r="M27" s="17">
        <v>2</v>
      </c>
      <c r="N27" s="17">
        <v>6</v>
      </c>
      <c r="O27" s="17">
        <v>3</v>
      </c>
      <c r="P27" s="17"/>
      <c r="Q27" s="17"/>
      <c r="R27" s="17"/>
      <c r="S27" s="18"/>
      <c r="T27" s="23">
        <f t="shared" si="0"/>
        <v>18</v>
      </c>
      <c r="U27" s="23">
        <f t="shared" si="0"/>
        <v>9</v>
      </c>
      <c r="V27" s="25">
        <f t="shared" si="1"/>
        <v>0.66666666666666663</v>
      </c>
      <c r="W27" s="5" t="s">
        <v>286</v>
      </c>
      <c r="X27" s="5" t="s">
        <v>464</v>
      </c>
      <c r="Y27" s="5" t="s">
        <v>457</v>
      </c>
      <c r="Z27" s="5"/>
    </row>
    <row r="28" spans="1:26" x14ac:dyDescent="0.3">
      <c r="A28" s="6" t="s">
        <v>280</v>
      </c>
      <c r="B28" s="5" t="s">
        <v>309</v>
      </c>
      <c r="C28" s="7" t="s">
        <v>281</v>
      </c>
      <c r="D28" s="7" t="s">
        <v>472</v>
      </c>
      <c r="E28" s="10" t="s">
        <v>451</v>
      </c>
      <c r="F28" s="7"/>
      <c r="G28" s="7"/>
      <c r="H28" s="7" t="s">
        <v>530</v>
      </c>
      <c r="I28" s="26">
        <v>0.54761904761904767</v>
      </c>
      <c r="J28" s="13">
        <v>4</v>
      </c>
      <c r="K28" s="14">
        <v>6</v>
      </c>
      <c r="L28" s="14">
        <v>6</v>
      </c>
      <c r="M28" s="14">
        <v>4</v>
      </c>
      <c r="N28" s="14">
        <v>6</v>
      </c>
      <c r="O28" s="14">
        <v>3</v>
      </c>
      <c r="P28" s="14">
        <v>7</v>
      </c>
      <c r="Q28" s="14">
        <v>6</v>
      </c>
      <c r="R28" s="14"/>
      <c r="S28" s="15"/>
      <c r="T28" s="23">
        <f t="shared" si="0"/>
        <v>23</v>
      </c>
      <c r="U28" s="23">
        <f t="shared" si="0"/>
        <v>19</v>
      </c>
      <c r="V28" s="25">
        <f t="shared" si="1"/>
        <v>0.54761904761904767</v>
      </c>
      <c r="W28" s="7" t="s">
        <v>282</v>
      </c>
      <c r="X28" s="7" t="s">
        <v>481</v>
      </c>
      <c r="Y28" s="7" t="s">
        <v>459</v>
      </c>
      <c r="Z28" s="7"/>
    </row>
    <row r="29" spans="1:26" x14ac:dyDescent="0.3">
      <c r="A29" s="6" t="s">
        <v>298</v>
      </c>
      <c r="B29" s="5" t="s">
        <v>309</v>
      </c>
      <c r="C29" s="7" t="s">
        <v>271</v>
      </c>
      <c r="D29" s="7" t="s">
        <v>476</v>
      </c>
      <c r="E29" s="7" t="s">
        <v>469</v>
      </c>
      <c r="F29" s="7"/>
      <c r="G29" s="7"/>
      <c r="H29" s="7" t="s">
        <v>537</v>
      </c>
      <c r="I29" s="26">
        <v>0.58695652173913049</v>
      </c>
      <c r="J29" s="13">
        <v>6</v>
      </c>
      <c r="K29" s="14">
        <v>2</v>
      </c>
      <c r="L29" s="14">
        <v>6</v>
      </c>
      <c r="M29" s="14">
        <v>7</v>
      </c>
      <c r="N29" s="14">
        <v>6</v>
      </c>
      <c r="O29" s="14">
        <v>3</v>
      </c>
      <c r="P29" s="14">
        <v>3</v>
      </c>
      <c r="Q29" s="14">
        <v>6</v>
      </c>
      <c r="R29" s="14">
        <v>6</v>
      </c>
      <c r="S29" s="15">
        <v>1</v>
      </c>
      <c r="T29" s="23">
        <f t="shared" si="0"/>
        <v>27</v>
      </c>
      <c r="U29" s="23">
        <f t="shared" si="0"/>
        <v>19</v>
      </c>
      <c r="V29" s="25">
        <f t="shared" si="1"/>
        <v>0.58695652173913049</v>
      </c>
      <c r="W29" s="7" t="s">
        <v>299</v>
      </c>
      <c r="X29" s="7" t="s">
        <v>491</v>
      </c>
      <c r="Y29" s="7" t="s">
        <v>498</v>
      </c>
      <c r="Z29" s="7"/>
    </row>
    <row r="30" spans="1:26" x14ac:dyDescent="0.3">
      <c r="A30" s="4" t="s">
        <v>296</v>
      </c>
      <c r="B30" s="5" t="s">
        <v>309</v>
      </c>
      <c r="C30" s="5" t="s">
        <v>271</v>
      </c>
      <c r="D30" s="5" t="s">
        <v>476</v>
      </c>
      <c r="E30" s="5" t="s">
        <v>469</v>
      </c>
      <c r="F30" s="5"/>
      <c r="G30" s="5"/>
      <c r="H30" s="5" t="s">
        <v>297</v>
      </c>
      <c r="I30" s="27">
        <v>0.54545454545454541</v>
      </c>
      <c r="J30" s="16">
        <v>6</v>
      </c>
      <c r="K30" s="17">
        <v>4</v>
      </c>
      <c r="L30" s="17">
        <v>3</v>
      </c>
      <c r="M30" s="17">
        <v>6</v>
      </c>
      <c r="N30" s="17">
        <v>6</v>
      </c>
      <c r="O30" s="17">
        <v>1</v>
      </c>
      <c r="P30" s="17">
        <v>3</v>
      </c>
      <c r="Q30" s="17">
        <v>6</v>
      </c>
      <c r="R30" s="17">
        <v>6</v>
      </c>
      <c r="S30" s="18">
        <v>3</v>
      </c>
      <c r="T30" s="23">
        <f t="shared" si="0"/>
        <v>24</v>
      </c>
      <c r="U30" s="23">
        <f t="shared" si="0"/>
        <v>20</v>
      </c>
      <c r="V30" s="25">
        <f t="shared" si="1"/>
        <v>0.54545454545454541</v>
      </c>
      <c r="W30" s="5" t="s">
        <v>284</v>
      </c>
      <c r="X30" s="5" t="s">
        <v>470</v>
      </c>
      <c r="Y30" s="5" t="s">
        <v>460</v>
      </c>
      <c r="Z30" s="5"/>
    </row>
    <row r="31" spans="1:26" x14ac:dyDescent="0.3">
      <c r="A31" s="6" t="s">
        <v>285</v>
      </c>
      <c r="B31" s="5" t="s">
        <v>309</v>
      </c>
      <c r="C31" s="7" t="s">
        <v>271</v>
      </c>
      <c r="D31" s="7" t="s">
        <v>476</v>
      </c>
      <c r="E31" s="7" t="s">
        <v>469</v>
      </c>
      <c r="F31" s="7"/>
      <c r="G31" s="7"/>
      <c r="H31" s="7" t="s">
        <v>532</v>
      </c>
      <c r="I31" s="26">
        <v>0.59375</v>
      </c>
      <c r="J31" s="13">
        <v>6</v>
      </c>
      <c r="K31" s="14">
        <v>3</v>
      </c>
      <c r="L31" s="14">
        <v>6</v>
      </c>
      <c r="M31" s="14">
        <v>4</v>
      </c>
      <c r="N31" s="14">
        <v>7</v>
      </c>
      <c r="O31" s="14">
        <v>6</v>
      </c>
      <c r="P31" s="14"/>
      <c r="Q31" s="14"/>
      <c r="R31" s="14"/>
      <c r="S31" s="15"/>
      <c r="T31" s="23">
        <f t="shared" si="0"/>
        <v>19</v>
      </c>
      <c r="U31" s="23">
        <f t="shared" si="0"/>
        <v>13</v>
      </c>
      <c r="V31" s="25">
        <f t="shared" si="1"/>
        <v>0.59375</v>
      </c>
      <c r="W31" s="7" t="s">
        <v>286</v>
      </c>
      <c r="X31" s="7" t="s">
        <v>464</v>
      </c>
      <c r="Y31" s="7" t="s">
        <v>457</v>
      </c>
      <c r="Z31" s="7"/>
    </row>
    <row r="32" spans="1:26" x14ac:dyDescent="0.3">
      <c r="A32" s="4" t="s">
        <v>278</v>
      </c>
      <c r="B32" s="5" t="s">
        <v>309</v>
      </c>
      <c r="C32" s="5" t="s">
        <v>271</v>
      </c>
      <c r="D32" s="5" t="s">
        <v>476</v>
      </c>
      <c r="E32" s="5" t="s">
        <v>469</v>
      </c>
      <c r="F32" s="5"/>
      <c r="G32" s="5"/>
      <c r="H32" s="5" t="s">
        <v>529</v>
      </c>
      <c r="I32" s="27">
        <v>0.5757575757575758</v>
      </c>
      <c r="J32" s="16">
        <v>7</v>
      </c>
      <c r="K32" s="17">
        <v>6</v>
      </c>
      <c r="L32" s="17">
        <v>6</v>
      </c>
      <c r="M32" s="17">
        <v>4</v>
      </c>
      <c r="N32" s="17">
        <v>6</v>
      </c>
      <c r="O32" s="17">
        <v>4</v>
      </c>
      <c r="P32" s="17"/>
      <c r="Q32" s="17"/>
      <c r="R32" s="17"/>
      <c r="S32" s="18"/>
      <c r="T32" s="23">
        <f t="shared" si="0"/>
        <v>19</v>
      </c>
      <c r="U32" s="23">
        <f t="shared" si="0"/>
        <v>14</v>
      </c>
      <c r="V32" s="25">
        <f t="shared" si="1"/>
        <v>0.5757575757575758</v>
      </c>
      <c r="W32" s="5" t="s">
        <v>279</v>
      </c>
      <c r="X32" s="5" t="s">
        <v>493</v>
      </c>
      <c r="Y32" s="5" t="s">
        <v>500</v>
      </c>
      <c r="Z32" s="5"/>
    </row>
    <row r="33" spans="1:26" x14ac:dyDescent="0.3">
      <c r="A33" s="6" t="s">
        <v>275</v>
      </c>
      <c r="B33" s="5" t="s">
        <v>309</v>
      </c>
      <c r="C33" s="7" t="s">
        <v>271</v>
      </c>
      <c r="D33" s="7" t="s">
        <v>476</v>
      </c>
      <c r="E33" s="7" t="s">
        <v>469</v>
      </c>
      <c r="F33" s="7"/>
      <c r="G33" s="7"/>
      <c r="H33" s="7" t="s">
        <v>277</v>
      </c>
      <c r="I33" s="26">
        <v>0.63157894736842102</v>
      </c>
      <c r="J33" s="13">
        <v>5</v>
      </c>
      <c r="K33" s="14">
        <v>7</v>
      </c>
      <c r="L33" s="14">
        <v>7</v>
      </c>
      <c r="M33" s="14">
        <v>5</v>
      </c>
      <c r="N33" s="14">
        <v>6</v>
      </c>
      <c r="O33" s="14">
        <v>0</v>
      </c>
      <c r="P33" s="14">
        <v>6</v>
      </c>
      <c r="Q33" s="14">
        <v>2</v>
      </c>
      <c r="R33" s="14"/>
      <c r="S33" s="15"/>
      <c r="T33" s="23">
        <f t="shared" si="0"/>
        <v>24</v>
      </c>
      <c r="U33" s="23">
        <f t="shared" si="0"/>
        <v>14</v>
      </c>
      <c r="V33" s="25">
        <f t="shared" si="1"/>
        <v>0.63157894736842102</v>
      </c>
      <c r="W33" s="7" t="s">
        <v>276</v>
      </c>
      <c r="X33" s="7" t="s">
        <v>494</v>
      </c>
      <c r="Y33" s="7" t="s">
        <v>499</v>
      </c>
      <c r="Z33" s="7"/>
    </row>
    <row r="34" spans="1:26" x14ac:dyDescent="0.3">
      <c r="A34" s="6" t="s">
        <v>270</v>
      </c>
      <c r="B34" s="5" t="s">
        <v>309</v>
      </c>
      <c r="C34" s="7" t="s">
        <v>271</v>
      </c>
      <c r="D34" s="7" t="s">
        <v>476</v>
      </c>
      <c r="E34" s="7" t="s">
        <v>469</v>
      </c>
      <c r="F34" s="7"/>
      <c r="G34" s="7"/>
      <c r="H34" s="7" t="s">
        <v>528</v>
      </c>
      <c r="I34" s="26">
        <v>0.61290322580645162</v>
      </c>
      <c r="J34" s="13">
        <v>7</v>
      </c>
      <c r="K34" s="14">
        <v>6</v>
      </c>
      <c r="L34" s="14">
        <v>6</v>
      </c>
      <c r="M34" s="14">
        <v>4</v>
      </c>
      <c r="N34" s="14">
        <v>6</v>
      </c>
      <c r="O34" s="14">
        <v>2</v>
      </c>
      <c r="P34" s="14"/>
      <c r="Q34" s="14"/>
      <c r="R34" s="14"/>
      <c r="S34" s="15"/>
      <c r="T34" s="23">
        <f t="shared" si="0"/>
        <v>19</v>
      </c>
      <c r="U34" s="23">
        <f t="shared" si="0"/>
        <v>12</v>
      </c>
      <c r="V34" s="25">
        <f t="shared" si="1"/>
        <v>0.61290322580645162</v>
      </c>
      <c r="W34" s="7" t="s">
        <v>266</v>
      </c>
      <c r="X34" s="7" t="s">
        <v>480</v>
      </c>
      <c r="Y34" s="7" t="s">
        <v>452</v>
      </c>
      <c r="Z34" s="7"/>
    </row>
    <row r="35" spans="1:26" x14ac:dyDescent="0.3">
      <c r="A35" s="4" t="s">
        <v>174</v>
      </c>
      <c r="B35" s="5" t="s">
        <v>309</v>
      </c>
      <c r="C35" s="5" t="s">
        <v>159</v>
      </c>
      <c r="D35" s="5" t="s">
        <v>471</v>
      </c>
      <c r="E35" s="5" t="s">
        <v>467</v>
      </c>
      <c r="F35" s="5"/>
      <c r="G35" s="5"/>
      <c r="H35" s="5" t="s">
        <v>175</v>
      </c>
      <c r="I35" s="27">
        <v>0.66666666666666663</v>
      </c>
      <c r="J35" s="16">
        <v>6</v>
      </c>
      <c r="K35" s="17">
        <v>4</v>
      </c>
      <c r="L35" s="17">
        <v>6</v>
      </c>
      <c r="M35" s="17">
        <v>1</v>
      </c>
      <c r="N35" s="17">
        <v>6</v>
      </c>
      <c r="O35" s="17">
        <v>4</v>
      </c>
      <c r="P35" s="17"/>
      <c r="Q35" s="17"/>
      <c r="R35" s="17"/>
      <c r="S35" s="18"/>
      <c r="T35" s="23">
        <f t="shared" si="0"/>
        <v>18</v>
      </c>
      <c r="U35" s="23">
        <f t="shared" si="0"/>
        <v>9</v>
      </c>
      <c r="V35" s="25">
        <f t="shared" si="1"/>
        <v>0.66666666666666663</v>
      </c>
      <c r="W35" s="5" t="s">
        <v>172</v>
      </c>
      <c r="X35" s="5" t="s">
        <v>474</v>
      </c>
      <c r="Y35" s="5" t="s">
        <v>448</v>
      </c>
      <c r="Z35" s="5"/>
    </row>
    <row r="36" spans="1:26" x14ac:dyDescent="0.3">
      <c r="A36" s="6" t="s">
        <v>171</v>
      </c>
      <c r="B36" s="5" t="s">
        <v>309</v>
      </c>
      <c r="C36" s="7" t="s">
        <v>159</v>
      </c>
      <c r="D36" s="7" t="s">
        <v>471</v>
      </c>
      <c r="E36" s="7" t="s">
        <v>467</v>
      </c>
      <c r="F36" s="7"/>
      <c r="G36" s="7"/>
      <c r="H36" s="7" t="s">
        <v>173</v>
      </c>
      <c r="I36" s="26">
        <v>0.58536585365853655</v>
      </c>
      <c r="J36" s="13">
        <v>6</v>
      </c>
      <c r="K36" s="14">
        <v>4</v>
      </c>
      <c r="L36" s="14">
        <v>6</v>
      </c>
      <c r="M36" s="14">
        <v>8</v>
      </c>
      <c r="N36" s="14">
        <v>6</v>
      </c>
      <c r="O36" s="14">
        <v>2</v>
      </c>
      <c r="P36" s="14">
        <v>6</v>
      </c>
      <c r="Q36" s="14">
        <v>3</v>
      </c>
      <c r="R36" s="14"/>
      <c r="S36" s="15"/>
      <c r="T36" s="23">
        <f t="shared" si="0"/>
        <v>24</v>
      </c>
      <c r="U36" s="23">
        <f t="shared" si="0"/>
        <v>17</v>
      </c>
      <c r="V36" s="25">
        <f t="shared" si="1"/>
        <v>0.58536585365853655</v>
      </c>
      <c r="W36" s="7" t="s">
        <v>172</v>
      </c>
      <c r="X36" s="7" t="s">
        <v>474</v>
      </c>
      <c r="Y36" s="7" t="s">
        <v>448</v>
      </c>
      <c r="Z36" s="7"/>
    </row>
    <row r="37" spans="1:26" x14ac:dyDescent="0.3">
      <c r="A37" s="4" t="s">
        <v>169</v>
      </c>
      <c r="B37" s="5" t="s">
        <v>309</v>
      </c>
      <c r="C37" s="5" t="s">
        <v>159</v>
      </c>
      <c r="D37" s="5" t="s">
        <v>471</v>
      </c>
      <c r="E37" s="5" t="s">
        <v>467</v>
      </c>
      <c r="F37" s="5"/>
      <c r="G37" s="5"/>
      <c r="H37" s="5" t="s">
        <v>170</v>
      </c>
      <c r="I37" s="27">
        <v>0.52830188679245282</v>
      </c>
      <c r="J37" s="16">
        <v>7</v>
      </c>
      <c r="K37" s="17">
        <v>9</v>
      </c>
      <c r="L37" s="17">
        <v>2</v>
      </c>
      <c r="M37" s="17">
        <v>6</v>
      </c>
      <c r="N37" s="17">
        <v>6</v>
      </c>
      <c r="O37" s="17">
        <v>4</v>
      </c>
      <c r="P37" s="17">
        <v>7</v>
      </c>
      <c r="Q37" s="17">
        <v>5</v>
      </c>
      <c r="R37" s="17">
        <v>6</v>
      </c>
      <c r="S37" s="18">
        <v>1</v>
      </c>
      <c r="T37" s="23">
        <f t="shared" si="0"/>
        <v>28</v>
      </c>
      <c r="U37" s="23">
        <f t="shared" si="0"/>
        <v>25</v>
      </c>
      <c r="V37" s="25">
        <f t="shared" si="1"/>
        <v>0.52830188679245282</v>
      </c>
      <c r="W37" s="5" t="s">
        <v>167</v>
      </c>
      <c r="X37" s="5" t="s">
        <v>471</v>
      </c>
      <c r="Y37" s="5" t="s">
        <v>467</v>
      </c>
      <c r="Z37" s="5"/>
    </row>
    <row r="38" spans="1:26" x14ac:dyDescent="0.3">
      <c r="A38" s="6" t="s">
        <v>166</v>
      </c>
      <c r="B38" s="5" t="s">
        <v>309</v>
      </c>
      <c r="C38" s="7" t="s">
        <v>159</v>
      </c>
      <c r="D38" s="7" t="s">
        <v>471</v>
      </c>
      <c r="E38" s="7" t="s">
        <v>467</v>
      </c>
      <c r="F38" s="7"/>
      <c r="G38" s="7"/>
      <c r="H38" s="7" t="s">
        <v>168</v>
      </c>
      <c r="I38" s="26">
        <v>0.66666666666666663</v>
      </c>
      <c r="J38" s="13">
        <v>6</v>
      </c>
      <c r="K38" s="14">
        <v>3</v>
      </c>
      <c r="L38" s="14">
        <v>6</v>
      </c>
      <c r="M38" s="14">
        <v>4</v>
      </c>
      <c r="N38" s="14">
        <v>6</v>
      </c>
      <c r="O38" s="14">
        <v>2</v>
      </c>
      <c r="P38" s="14"/>
      <c r="Q38" s="14"/>
      <c r="R38" s="14"/>
      <c r="S38" s="15"/>
      <c r="T38" s="23">
        <f t="shared" si="0"/>
        <v>18</v>
      </c>
      <c r="U38" s="23">
        <f t="shared" si="0"/>
        <v>9</v>
      </c>
      <c r="V38" s="25">
        <f t="shared" si="1"/>
        <v>0.66666666666666663</v>
      </c>
      <c r="W38" s="7" t="s">
        <v>167</v>
      </c>
      <c r="X38" s="7" t="s">
        <v>471</v>
      </c>
      <c r="Y38" s="7" t="s">
        <v>467</v>
      </c>
      <c r="Z38" s="7"/>
    </row>
    <row r="39" spans="1:26" x14ac:dyDescent="0.3">
      <c r="A39" s="4" t="s">
        <v>163</v>
      </c>
      <c r="B39" s="5" t="s">
        <v>309</v>
      </c>
      <c r="C39" s="5" t="s">
        <v>159</v>
      </c>
      <c r="D39" s="5" t="s">
        <v>471</v>
      </c>
      <c r="E39" s="5" t="s">
        <v>467</v>
      </c>
      <c r="F39" s="5"/>
      <c r="G39" s="5"/>
      <c r="H39" s="5" t="s">
        <v>165</v>
      </c>
      <c r="I39" s="27">
        <v>0.72</v>
      </c>
      <c r="J39" s="16">
        <v>6</v>
      </c>
      <c r="K39" s="17">
        <v>3</v>
      </c>
      <c r="L39" s="17">
        <v>6</v>
      </c>
      <c r="M39" s="17">
        <v>3</v>
      </c>
      <c r="N39" s="17">
        <v>6</v>
      </c>
      <c r="O39" s="17">
        <v>1</v>
      </c>
      <c r="P39" s="17"/>
      <c r="Q39" s="17"/>
      <c r="R39" s="17"/>
      <c r="S39" s="18"/>
      <c r="T39" s="23">
        <f t="shared" si="0"/>
        <v>18</v>
      </c>
      <c r="U39" s="23">
        <f t="shared" si="0"/>
        <v>7</v>
      </c>
      <c r="V39" s="25">
        <f t="shared" si="1"/>
        <v>0.72</v>
      </c>
      <c r="W39" s="5" t="s">
        <v>164</v>
      </c>
      <c r="X39" s="5" t="s">
        <v>471</v>
      </c>
      <c r="Y39" s="5" t="s">
        <v>467</v>
      </c>
      <c r="Z39" s="5"/>
    </row>
    <row r="40" spans="1:26" x14ac:dyDescent="0.3">
      <c r="A40" s="4" t="s">
        <v>158</v>
      </c>
      <c r="B40" s="5" t="s">
        <v>309</v>
      </c>
      <c r="C40" s="5" t="s">
        <v>159</v>
      </c>
      <c r="D40" s="5" t="s">
        <v>471</v>
      </c>
      <c r="E40" s="5" t="s">
        <v>467</v>
      </c>
      <c r="F40" s="5"/>
      <c r="G40" s="5"/>
      <c r="H40" s="5" t="s">
        <v>160</v>
      </c>
      <c r="I40" s="27">
        <v>0.52631578947368418</v>
      </c>
      <c r="J40" s="16">
        <v>1</v>
      </c>
      <c r="K40" s="17">
        <v>6</v>
      </c>
      <c r="L40" s="17">
        <v>6</v>
      </c>
      <c r="M40" s="17">
        <v>3</v>
      </c>
      <c r="N40" s="17">
        <v>7</v>
      </c>
      <c r="O40" s="17">
        <v>5</v>
      </c>
      <c r="P40" s="17">
        <v>6</v>
      </c>
      <c r="Q40" s="17">
        <v>4</v>
      </c>
      <c r="R40" s="17"/>
      <c r="S40" s="18"/>
      <c r="T40" s="23">
        <f t="shared" si="0"/>
        <v>20</v>
      </c>
      <c r="U40" s="23">
        <f t="shared" si="0"/>
        <v>18</v>
      </c>
      <c r="V40" s="25">
        <f t="shared" si="1"/>
        <v>0.52631578947368418</v>
      </c>
      <c r="W40" s="5" t="s">
        <v>156</v>
      </c>
      <c r="X40" s="5" t="s">
        <v>471</v>
      </c>
      <c r="Y40" s="5" t="s">
        <v>467</v>
      </c>
      <c r="Z40" s="5"/>
    </row>
    <row r="41" spans="1:26" x14ac:dyDescent="0.3">
      <c r="A41" s="4" t="s">
        <v>296</v>
      </c>
      <c r="B41" s="5" t="s">
        <v>444</v>
      </c>
      <c r="C41" s="5" t="s">
        <v>415</v>
      </c>
      <c r="D41" s="5" t="s">
        <v>474</v>
      </c>
      <c r="E41" s="11" t="s">
        <v>448</v>
      </c>
      <c r="F41" s="5"/>
      <c r="G41" s="5"/>
      <c r="H41" s="5" t="s">
        <v>336</v>
      </c>
      <c r="I41" s="27">
        <v>0.6</v>
      </c>
      <c r="J41" s="16">
        <v>6</v>
      </c>
      <c r="K41" s="17">
        <v>4</v>
      </c>
      <c r="L41" s="17">
        <v>6</v>
      </c>
      <c r="M41" s="17">
        <v>4</v>
      </c>
      <c r="N41" s="17"/>
      <c r="O41" s="17"/>
      <c r="P41" s="17"/>
      <c r="Q41" s="17"/>
      <c r="R41" s="17"/>
      <c r="S41" s="18"/>
      <c r="T41" s="23">
        <f t="shared" si="0"/>
        <v>12</v>
      </c>
      <c r="U41" s="23">
        <f t="shared" si="0"/>
        <v>8</v>
      </c>
      <c r="V41" s="25">
        <f t="shared" si="1"/>
        <v>0.6</v>
      </c>
      <c r="W41" s="5" t="s">
        <v>416</v>
      </c>
      <c r="X41" s="5" t="s">
        <v>474</v>
      </c>
      <c r="Y41" s="5" t="s">
        <v>448</v>
      </c>
      <c r="Z41" s="5"/>
    </row>
    <row r="42" spans="1:26" x14ac:dyDescent="0.3">
      <c r="A42" s="4" t="s">
        <v>294</v>
      </c>
      <c r="B42" s="5" t="s">
        <v>444</v>
      </c>
      <c r="C42" s="5" t="s">
        <v>415</v>
      </c>
      <c r="D42" s="5" t="s">
        <v>474</v>
      </c>
      <c r="E42" s="11" t="s">
        <v>448</v>
      </c>
      <c r="F42" s="5"/>
      <c r="G42" s="5"/>
      <c r="H42" s="5" t="s">
        <v>550</v>
      </c>
      <c r="I42" s="27">
        <v>0.59090909090909094</v>
      </c>
      <c r="J42" s="16">
        <v>6</v>
      </c>
      <c r="K42" s="17">
        <v>3</v>
      </c>
      <c r="L42" s="17">
        <v>7</v>
      </c>
      <c r="M42" s="17">
        <v>6</v>
      </c>
      <c r="N42" s="17"/>
      <c r="O42" s="17"/>
      <c r="P42" s="17"/>
      <c r="Q42" s="17"/>
      <c r="R42" s="17"/>
      <c r="S42" s="18"/>
      <c r="T42" s="23">
        <f t="shared" si="0"/>
        <v>13</v>
      </c>
      <c r="U42" s="23">
        <f t="shared" si="0"/>
        <v>9</v>
      </c>
      <c r="V42" s="25">
        <f t="shared" si="1"/>
        <v>0.59090909090909094</v>
      </c>
      <c r="W42" s="5" t="s">
        <v>422</v>
      </c>
      <c r="X42" s="5" t="s">
        <v>480</v>
      </c>
      <c r="Y42" s="5" t="s">
        <v>452</v>
      </c>
      <c r="Z42" s="5"/>
    </row>
    <row r="43" spans="1:26" x14ac:dyDescent="0.3">
      <c r="A43" s="6" t="s">
        <v>285</v>
      </c>
      <c r="B43" s="5" t="s">
        <v>444</v>
      </c>
      <c r="C43" s="7" t="s">
        <v>415</v>
      </c>
      <c r="D43" s="7" t="s">
        <v>474</v>
      </c>
      <c r="E43" s="7" t="s">
        <v>448</v>
      </c>
      <c r="F43" s="7"/>
      <c r="G43" s="7"/>
      <c r="H43" s="7" t="s">
        <v>427</v>
      </c>
      <c r="I43" s="26">
        <v>0.55555555555555558</v>
      </c>
      <c r="J43" s="13">
        <v>6</v>
      </c>
      <c r="K43" s="14">
        <v>4</v>
      </c>
      <c r="L43" s="14">
        <v>3</v>
      </c>
      <c r="M43" s="14">
        <v>6</v>
      </c>
      <c r="N43" s="14">
        <v>6</v>
      </c>
      <c r="O43" s="14">
        <v>2</v>
      </c>
      <c r="P43" s="14"/>
      <c r="Q43" s="14"/>
      <c r="R43" s="14"/>
      <c r="S43" s="15"/>
      <c r="T43" s="23">
        <f t="shared" si="0"/>
        <v>15</v>
      </c>
      <c r="U43" s="23">
        <f t="shared" si="0"/>
        <v>12</v>
      </c>
      <c r="V43" s="25">
        <f t="shared" si="1"/>
        <v>0.55555555555555558</v>
      </c>
      <c r="W43" s="7" t="s">
        <v>417</v>
      </c>
      <c r="X43" s="7" t="s">
        <v>479</v>
      </c>
      <c r="Y43" s="7" t="s">
        <v>466</v>
      </c>
      <c r="Z43" s="7"/>
    </row>
    <row r="44" spans="1:26" x14ac:dyDescent="0.3">
      <c r="A44" s="4" t="s">
        <v>283</v>
      </c>
      <c r="B44" s="5" t="s">
        <v>444</v>
      </c>
      <c r="C44" s="5" t="s">
        <v>415</v>
      </c>
      <c r="D44" s="5" t="s">
        <v>474</v>
      </c>
      <c r="E44" s="11" t="s">
        <v>448</v>
      </c>
      <c r="F44" s="5"/>
      <c r="G44" s="5"/>
      <c r="H44" s="5" t="s">
        <v>426</v>
      </c>
      <c r="I44" s="27">
        <v>0.8</v>
      </c>
      <c r="J44" s="16">
        <v>6</v>
      </c>
      <c r="K44" s="17">
        <v>0</v>
      </c>
      <c r="L44" s="17">
        <v>6</v>
      </c>
      <c r="M44" s="17">
        <v>3</v>
      </c>
      <c r="N44" s="17"/>
      <c r="O44" s="17"/>
      <c r="P44" s="17"/>
      <c r="Q44" s="17"/>
      <c r="R44" s="17"/>
      <c r="S44" s="18"/>
      <c r="T44" s="23">
        <f t="shared" si="0"/>
        <v>12</v>
      </c>
      <c r="U44" s="23">
        <f t="shared" si="0"/>
        <v>3</v>
      </c>
      <c r="V44" s="25">
        <f t="shared" si="1"/>
        <v>0.8</v>
      </c>
      <c r="W44" s="5" t="s">
        <v>425</v>
      </c>
      <c r="X44" s="5" t="s">
        <v>480</v>
      </c>
      <c r="Y44" s="5" t="s">
        <v>452</v>
      </c>
      <c r="Z44" s="5"/>
    </row>
    <row r="45" spans="1:26" x14ac:dyDescent="0.3">
      <c r="A45" s="4" t="s">
        <v>278</v>
      </c>
      <c r="B45" s="5" t="s">
        <v>444</v>
      </c>
      <c r="C45" s="5" t="s">
        <v>415</v>
      </c>
      <c r="D45" s="5" t="s">
        <v>474</v>
      </c>
      <c r="E45" s="11" t="s">
        <v>448</v>
      </c>
      <c r="F45" s="5"/>
      <c r="G45" s="5"/>
      <c r="H45" s="5" t="s">
        <v>343</v>
      </c>
      <c r="I45" s="27">
        <v>0.8</v>
      </c>
      <c r="J45" s="16">
        <v>6</v>
      </c>
      <c r="K45" s="17">
        <v>1</v>
      </c>
      <c r="L45" s="17">
        <v>6</v>
      </c>
      <c r="M45" s="17">
        <v>2</v>
      </c>
      <c r="N45" s="17"/>
      <c r="O45" s="17"/>
      <c r="P45" s="17"/>
      <c r="Q45" s="17"/>
      <c r="R45" s="17"/>
      <c r="S45" s="18"/>
      <c r="T45" s="23">
        <f t="shared" si="0"/>
        <v>12</v>
      </c>
      <c r="U45" s="23">
        <f t="shared" si="0"/>
        <v>3</v>
      </c>
      <c r="V45" s="25">
        <f t="shared" si="1"/>
        <v>0.8</v>
      </c>
      <c r="W45" s="5" t="s">
        <v>422</v>
      </c>
      <c r="X45" s="5" t="s">
        <v>480</v>
      </c>
      <c r="Y45" s="5" t="s">
        <v>452</v>
      </c>
      <c r="Z45" s="5"/>
    </row>
    <row r="46" spans="1:26" x14ac:dyDescent="0.3">
      <c r="A46" s="4" t="s">
        <v>272</v>
      </c>
      <c r="B46" s="5" t="s">
        <v>444</v>
      </c>
      <c r="C46" s="5" t="s">
        <v>415</v>
      </c>
      <c r="D46" s="5" t="s">
        <v>474</v>
      </c>
      <c r="E46" s="11" t="s">
        <v>448</v>
      </c>
      <c r="F46" s="5"/>
      <c r="G46" s="5"/>
      <c r="H46" s="5" t="s">
        <v>420</v>
      </c>
      <c r="I46" s="27">
        <v>0.60869565217391308</v>
      </c>
      <c r="J46" s="16">
        <v>2</v>
      </c>
      <c r="K46" s="17">
        <v>6</v>
      </c>
      <c r="L46" s="17">
        <v>6</v>
      </c>
      <c r="M46" s="17">
        <v>3</v>
      </c>
      <c r="N46" s="17">
        <v>6</v>
      </c>
      <c r="O46" s="17">
        <v>0</v>
      </c>
      <c r="P46" s="17"/>
      <c r="Q46" s="17"/>
      <c r="R46" s="17"/>
      <c r="S46" s="18"/>
      <c r="T46" s="23">
        <f t="shared" si="0"/>
        <v>14</v>
      </c>
      <c r="U46" s="23">
        <f t="shared" si="0"/>
        <v>9</v>
      </c>
      <c r="V46" s="25">
        <f t="shared" si="1"/>
        <v>0.60869565217391308</v>
      </c>
      <c r="W46" s="5" t="s">
        <v>413</v>
      </c>
      <c r="X46" s="5" t="s">
        <v>474</v>
      </c>
      <c r="Y46" s="5" t="s">
        <v>448</v>
      </c>
      <c r="Z46" s="5"/>
    </row>
    <row r="47" spans="1:26" x14ac:dyDescent="0.3">
      <c r="A47" s="4" t="s">
        <v>267</v>
      </c>
      <c r="B47" s="5" t="s">
        <v>444</v>
      </c>
      <c r="C47" s="5" t="s">
        <v>415</v>
      </c>
      <c r="D47" s="5" t="s">
        <v>474</v>
      </c>
      <c r="E47" s="11" t="s">
        <v>448</v>
      </c>
      <c r="F47" s="5"/>
      <c r="G47" s="5"/>
      <c r="H47" s="5" t="s">
        <v>548</v>
      </c>
      <c r="I47" s="27">
        <v>0.5</v>
      </c>
      <c r="J47" s="16">
        <v>7</v>
      </c>
      <c r="K47" s="17">
        <v>6</v>
      </c>
      <c r="L47" s="17">
        <v>3</v>
      </c>
      <c r="M47" s="17">
        <v>6</v>
      </c>
      <c r="N47" s="17">
        <v>6</v>
      </c>
      <c r="O47" s="17">
        <v>4</v>
      </c>
      <c r="P47" s="17"/>
      <c r="Q47" s="17"/>
      <c r="R47" s="17"/>
      <c r="S47" s="18"/>
      <c r="T47" s="23">
        <f t="shared" si="0"/>
        <v>16</v>
      </c>
      <c r="U47" s="23">
        <f t="shared" si="0"/>
        <v>16</v>
      </c>
      <c r="V47" s="25">
        <f t="shared" si="1"/>
        <v>0.5</v>
      </c>
      <c r="W47" s="5" t="s">
        <v>416</v>
      </c>
      <c r="X47" s="5" t="s">
        <v>474</v>
      </c>
      <c r="Y47" s="5" t="s">
        <v>448</v>
      </c>
      <c r="Z47" s="5"/>
    </row>
  </sheetData>
  <pageMargins left="0.7" right="0.7" top="0.75" bottom="0.75" header="0.3" footer="0.3"/>
  <pageSetup paperSize="9"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76AE0B5F033494B92506C89C30F3559" ma:contentTypeVersion="16" ma:contentTypeDescription="Create a new document." ma:contentTypeScope="" ma:versionID="a40d5e6cfdb695ba287364d3017e46f8">
  <xsd:schema xmlns:xsd="http://www.w3.org/2001/XMLSchema" xmlns:xs="http://www.w3.org/2001/XMLSchema" xmlns:p="http://schemas.microsoft.com/office/2006/metadata/properties" xmlns:ns3="83f28f4c-1e3d-431a-898d-1dab18d2f25b" xmlns:ns4="5cf8a5a8-0301-4954-884c-1f222cf09767" targetNamespace="http://schemas.microsoft.com/office/2006/metadata/properties" ma:root="true" ma:fieldsID="f2c631b239c993babd82aed850759c52" ns3:_="" ns4:_="">
    <xsd:import namespace="83f28f4c-1e3d-431a-898d-1dab18d2f25b"/>
    <xsd:import namespace="5cf8a5a8-0301-4954-884c-1f222cf0976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f28f4c-1e3d-431a-898d-1dab18d2f2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activity" ma:index="23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f8a5a8-0301-4954-884c-1f222cf0976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3f28f4c-1e3d-431a-898d-1dab18d2f25b" xsi:nil="true"/>
  </documentManagement>
</p:properties>
</file>

<file path=customXml/itemProps1.xml><?xml version="1.0" encoding="utf-8"?>
<ds:datastoreItem xmlns:ds="http://schemas.openxmlformats.org/officeDocument/2006/customXml" ds:itemID="{2972C832-81BD-4D18-A9BC-2733855288BC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4F4AC77-94D5-4A79-B4F1-FBF4BA9108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3f28f4c-1e3d-431a-898d-1dab18d2f25b"/>
    <ds:schemaRef ds:uri="5cf8a5a8-0301-4954-884c-1f222cf097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B7F0127-10EC-4332-8B1F-3DC05E66C18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8715ACA-26B7-4049-A980-C0119FA2DDEE}">
  <ds:schemaRefs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5cf8a5a8-0301-4954-884c-1f222cf09767"/>
    <ds:schemaRef ds:uri="83f28f4c-1e3d-431a-898d-1dab18d2f25b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Australian Open</vt:lpstr>
      <vt:lpstr>Top5+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268</dc:creator>
  <cp:lastModifiedBy>Aryan Bansal</cp:lastModifiedBy>
  <dcterms:created xsi:type="dcterms:W3CDTF">2015-06-05T18:17:20Z</dcterms:created>
  <dcterms:modified xsi:type="dcterms:W3CDTF">2024-04-25T13:37:20Z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1a6c3db-1667-4f49-995a-8b9973972958_Enabled">
    <vt:lpwstr>true</vt:lpwstr>
  </property>
  <property fmtid="{D5CDD505-2E9C-101B-9397-08002B2CF9AE}" pid="3" name="MSIP_Label_51a6c3db-1667-4f49-995a-8b9973972958_SetDate">
    <vt:lpwstr>2023-03-23T08:13:57Z</vt:lpwstr>
  </property>
  <property fmtid="{D5CDD505-2E9C-101B-9397-08002B2CF9AE}" pid="4" name="MSIP_Label_51a6c3db-1667-4f49-995a-8b9973972958_Method">
    <vt:lpwstr>Standard</vt:lpwstr>
  </property>
  <property fmtid="{D5CDD505-2E9C-101B-9397-08002B2CF9AE}" pid="5" name="MSIP_Label_51a6c3db-1667-4f49-995a-8b9973972958_Name">
    <vt:lpwstr>UTS-Internal</vt:lpwstr>
  </property>
  <property fmtid="{D5CDD505-2E9C-101B-9397-08002B2CF9AE}" pid="6" name="MSIP_Label_51a6c3db-1667-4f49-995a-8b9973972958_SiteId">
    <vt:lpwstr>e8911c26-cf9f-4a9c-878e-527807be8791</vt:lpwstr>
  </property>
  <property fmtid="{D5CDD505-2E9C-101B-9397-08002B2CF9AE}" pid="7" name="MSIP_Label_51a6c3db-1667-4f49-995a-8b9973972958_ActionId">
    <vt:lpwstr>cbf75c08-806c-4c33-8dec-aa63f722b7ad</vt:lpwstr>
  </property>
  <property fmtid="{D5CDD505-2E9C-101B-9397-08002B2CF9AE}" pid="8" name="MSIP_Label_51a6c3db-1667-4f49-995a-8b9973972958_ContentBits">
    <vt:lpwstr>0</vt:lpwstr>
  </property>
  <property fmtid="{D5CDD505-2E9C-101B-9397-08002B2CF9AE}" pid="9" name="ContentTypeId">
    <vt:lpwstr>0x010100376AE0B5F033494B92506C89C30F3559</vt:lpwstr>
  </property>
</Properties>
</file>